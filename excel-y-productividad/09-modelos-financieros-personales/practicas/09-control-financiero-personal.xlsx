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8e3e62883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8f28809497e4fef"/>
    <x:sheet xmlns:r="http://schemas.openxmlformats.org/officeDocument/2006/relationships" name="Movimientos" sheetId="2" r:id="R477451ca7c554023"/>
    <x:sheet xmlns:r="http://schemas.openxmlformats.org/officeDocument/2006/relationships" name="Presupuesto" sheetId="3" r:id="R5a88ff599e914cbe"/>
    <x:sheet xmlns:r="http://schemas.openxmlformats.org/officeDocument/2006/relationships" name="Metas y deudas" sheetId="4" r:id="Rfd102a5400d34bd8"/>
    <x:sheet xmlns:r="http://schemas.openxmlformats.org/officeDocument/2006/relationships" name="Reto" sheetId="5" r:id="R9848c8e9361e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S/ &quot;#,##0.00;[Red](&quot;S/ &quot;#,##0.00);-"/>
    <x:numFmt numFmtId="201" formatCode="&quot;S/ &quot;#,##0.00"/>
    <x:numFmt numFmtId="202" formatCode="0%"/>
    <x:numFmt numFmtId="203" formatCode="dd/mm/yyyy"/>
  </x:numFmts>
  <x:fonts count="6">
    <x:font>
      <x:sz val="11"/>
      <x:name val="Carlito"/>
    </x:font>
    <x:font>
      <x:sz val="10"/>
      <x:color rgb="FF172033"/>
      <x:name val="Arial"/>
    </x:font>
    <x:font>
      <x:b/>
      <x:sz val="15"/>
      <x:color rgb="FF172033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3" fontId="1" fillId="4" borderId="3" xfId="0" applyNumberFormat="1" applyFont="1" applyFill="1" applyBorder="1" applyAlignment="1">
      <x:alignment vertical="center"/>
    </x:xf>
    <x:xf numFmtId="201" fontId="1" fillId="4" borderId="3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3500a81774f0b" /><Relationship Type="http://schemas.openxmlformats.org/officeDocument/2006/relationships/theme" Target="/xl/theme/theme1.xml" Id="R39fbb60fc4dd49a0" /><Relationship Type="http://schemas.openxmlformats.org/officeDocument/2006/relationships/sharedStrings" Target="/xl/sharedStrings.xml" Id="R572271c9f47246ae" /><Relationship Type="http://schemas.openxmlformats.org/officeDocument/2006/relationships/worksheet" Target="/xl/worksheets/sheet1.xml" Id="R78f28809497e4fef" /><Relationship Type="http://schemas.openxmlformats.org/officeDocument/2006/relationships/worksheet" Target="/xl/worksheets/sheet2.xml" Id="R477451ca7c554023" /><Relationship Type="http://schemas.openxmlformats.org/officeDocument/2006/relationships/worksheet" Target="/xl/worksheets/sheet3.xml" Id="R5a88ff599e914cbe" /><Relationship Type="http://schemas.openxmlformats.org/officeDocument/2006/relationships/worksheet" Target="/xl/worksheets/sheet4.xml" Id="Rfd102a5400d34bd8" /><Relationship Type="http://schemas.openxmlformats.org/officeDocument/2006/relationships/worksheet" Target="/xl/worksheets/sheet5.xml" Id="R9848c8e9361e43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25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2"/>
      <x:c r="B2" s="3" t="str">
        <x:v>Control financiero personal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4" t="str">
        <x:v>Caso ficticio para relacionar movimientos, presupuesto, ahorro y deuda.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14" t="str">
        <x:v>Indicador</x:v>
      </x:c>
      <x:c r="C5" s="14" t="str">
        <x:v>Resultado</x:v>
      </x:c>
      <x:c r="D5" s="2"/>
      <x:c r="E5" s="14" t="str">
        <x:v>Categoría</x:v>
      </x:c>
      <x:c r="F5" s="14" t="str">
        <x:v>Presupuesto</x:v>
      </x:c>
      <x:c r="G5" s="14" t="str">
        <x:v>Gastado</x:v>
      </x:c>
      <x:c r="H5" s="14" t="str">
        <x:v>Disponible</x:v>
      </x:c>
      <x:c r="I5" s="2"/>
      <x:c r="J5" s="2"/>
      <x:c r="K5" s="2"/>
      <x:c r="L5" s="2"/>
    </x:row>
    <x:row r="6" ht="22" customHeight="1">
      <x:c r="A6" s="2"/>
      <x:c r="B6" s="15" t="str">
        <x:v>Ingresos</x:v>
      </x:c>
      <x:c r="C6" s="16" t="n">
        <x:f>SUMIF(Movimientos!$C$6:$C$17,"Ingreso",Movimientos!$F$6:$F$17)</x:f>
        <x:v>3650</x:v>
      </x:c>
      <x:c r="D6" s="2"/>
      <x:c r="E6" s="20" t="str">
        <x:f>Presupuesto!B6</x:f>
        <x:v>Vivienda</x:v>
      </x:c>
      <x:c r="F6" s="21" t="n">
        <x:f>Presupuesto!C6</x:f>
        <x:v>900</x:v>
      </x:c>
      <x:c r="G6" s="21" t="n">
        <x:f>Presupuesto!D6</x:f>
        <x:v>850</x:v>
      </x:c>
      <x:c r="H6" s="21" t="n">
        <x:f>Presupuesto!E6</x:f>
        <x:v>50</x:v>
      </x:c>
      <x:c r="I6" s="2"/>
      <x:c r="J6" s="2"/>
      <x:c r="K6" s="2"/>
      <x:c r="L6" s="2"/>
    </x:row>
    <x:row r="7" ht="22" customHeight="1">
      <x:c r="A7" s="2"/>
      <x:c r="B7" s="15" t="str">
        <x:v>Gastos</x:v>
      </x:c>
      <x:c r="C7" s="16" t="n">
        <x:f>SUMIF(Movimientos!$C$6:$C$17,"Gasto",Movimientos!$F$6:$F$17)</x:f>
        <x:v>1788</x:v>
      </x:c>
      <x:c r="D7" s="2"/>
      <x:c r="E7" s="20" t="str">
        <x:f>Presupuesto!B7</x:f>
        <x:v>Alimentación</x:v>
      </x:c>
      <x:c r="F7" s="21" t="n">
        <x:f>Presupuesto!C7</x:f>
        <x:v>500</x:v>
      </x:c>
      <x:c r="G7" s="21" t="n">
        <x:f>Presupuesto!D7</x:f>
        <x:v>405</x:v>
      </x:c>
      <x:c r="H7" s="21" t="n">
        <x:f>Presupuesto!E7</x:f>
        <x:v>95</x:v>
      </x:c>
      <x:c r="I7" s="2"/>
      <x:c r="J7" s="2"/>
      <x:c r="K7" s="2"/>
      <x:c r="L7" s="2"/>
    </x:row>
    <x:row r="8" ht="22" customHeight="1">
      <x:c r="A8" s="2"/>
      <x:c r="B8" s="15" t="str">
        <x:v>Ahorro</x:v>
      </x:c>
      <x:c r="C8" s="16" t="n">
        <x:f>SUMIF(Movimientos!$C$6:$C$17,"Ahorro",Movimientos!$F$6:$F$17)</x:f>
        <x:v>450</x:v>
      </x:c>
      <x:c r="D8" s="2"/>
      <x:c r="E8" s="20" t="str">
        <x:f>Presupuesto!B8</x:f>
        <x:v>Transporte</x:v>
      </x:c>
      <x:c r="F8" s="21" t="n">
        <x:f>Presupuesto!C8</x:f>
        <x:v>180</x:v>
      </x:c>
      <x:c r="G8" s="21" t="n">
        <x:f>Presupuesto!D8</x:f>
        <x:v>143</x:v>
      </x:c>
      <x:c r="H8" s="21" t="n">
        <x:f>Presupuesto!E8</x:f>
        <x:v>37</x:v>
      </x:c>
      <x:c r="I8" s="2"/>
      <x:c r="J8" s="2"/>
      <x:c r="K8" s="2"/>
      <x:c r="L8" s="2"/>
    </x:row>
    <x:row r="9" ht="22" customHeight="1">
      <x:c r="A9" s="2"/>
      <x:c r="B9" s="15" t="str">
        <x:v>Resultado mensual</x:v>
      </x:c>
      <x:c r="C9" s="16" t="n">
        <x:f>C6-C7-C8</x:f>
        <x:v>1412</x:v>
      </x:c>
      <x:c r="D9" s="2"/>
      <x:c r="E9" s="20" t="str">
        <x:f>Presupuesto!B9</x:f>
        <x:v>Estudios</x:v>
      </x:c>
      <x:c r="F9" s="21" t="n">
        <x:f>Presupuesto!C9</x:f>
        <x:v>250</x:v>
      </x:c>
      <x:c r="G9" s="21" t="n">
        <x:f>Presupuesto!D9</x:f>
        <x:v>180</x:v>
      </x:c>
      <x:c r="H9" s="21" t="n">
        <x:f>Presupuesto!E9</x:f>
        <x:v>70</x:v>
      </x:c>
      <x:c r="I9" s="2"/>
      <x:c r="J9" s="2"/>
      <x:c r="K9" s="2"/>
      <x:c r="L9" s="2"/>
    </x:row>
    <x:row r="10" ht="22" customHeight="1">
      <x:c r="A10" s="2"/>
      <x:c r="B10" s="15" t="str">
        <x:v>Deuda pendiente</x:v>
      </x:c>
      <x:c r="C10" s="16" t="n">
        <x:f>SUM('Metas y deudas'!G6:G9)</x:f>
        <x:v>2450</x:v>
      </x:c>
      <x:c r="D10" s="2"/>
      <x:c r="E10" s="20" t="str">
        <x:f>Presupuesto!B10</x:f>
        <x:v>Servicios</x:v>
      </x:c>
      <x:c r="F10" s="21" t="n">
        <x:f>Presupuesto!C10</x:f>
        <x:v>160</x:v>
      </x:c>
      <x:c r="G10" s="21" t="n">
        <x:f>Presupuesto!D10</x:f>
        <x:v>120</x:v>
      </x:c>
      <x:c r="H10" s="21" t="n">
        <x:f>Presupuesto!E10</x:f>
        <x:v>40</x:v>
      </x:c>
      <x:c r="I10" s="2"/>
      <x:c r="J10" s="2"/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14" t="str">
        <x:v>Objetivo</x:v>
      </x:c>
      <x:c r="C13" s="14" t="str">
        <x:v>Meta</x:v>
      </x:c>
      <x:c r="D13" s="14" t="str">
        <x:v>Ahorrado</x:v>
      </x:c>
      <x:c r="E13" s="14" t="str">
        <x:v>Progreso</x:v>
      </x:c>
      <x:c r="F13" s="14" t="str">
        <x:v>Estado</x:v>
      </x:c>
      <x:c r="G13" s="2"/>
      <x:c r="H13" s="2"/>
      <x:c r="I13" s="2"/>
      <x:c r="J13" s="2"/>
      <x:c r="K13" s="2"/>
      <x:c r="L13" s="2"/>
    </x:row>
    <x:row r="14" ht="22" customHeight="1">
      <x:c r="A14" s="2"/>
      <x:c r="B14" s="20" t="str">
        <x:f>'Metas y deudas'!B13</x:f>
        <x:v>Fondo de emergencia</x:v>
      </x:c>
      <x:c r="C14" s="22" t="n">
        <x:f>'Metas y deudas'!C13</x:f>
        <x:v>3000</x:v>
      </x:c>
      <x:c r="D14" s="22" t="n">
        <x:f>'Metas y deudas'!D13</x:f>
        <x:v>850</x:v>
      </x:c>
      <x:c r="E14" s="23" t="n">
        <x:f>IFERROR(D14/C14,0)</x:f>
        <x:v>0.2833333333333333</x:v>
      </x:c>
      <x:c r="F14" s="20" t="str">
        <x:f>IF(E14&gt;=1,"Alcanzada","En progreso")</x:f>
        <x:v>En progreso</x:v>
      </x:c>
      <x:c r="G14" s="2"/>
      <x:c r="H14" s="2"/>
      <x:c r="I14" s="2"/>
      <x:c r="J14" s="2"/>
      <x:c r="K14" s="2"/>
      <x:c r="L14" s="2"/>
    </x:row>
    <x:row r="15" ht="22" customHeight="1">
      <x:c r="A15" s="2"/>
      <x:c r="B15" s="20" t="str">
        <x:f>'Metas y deudas'!B14</x:f>
        <x:v>Equipo de trabajo</x:v>
      </x:c>
      <x:c r="C15" s="22" t="n">
        <x:f>'Metas y deudas'!C14</x:f>
        <x:v>1800</x:v>
      </x:c>
      <x:c r="D15" s="22" t="n">
        <x:f>'Metas y deudas'!D14</x:f>
        <x:v>450</x:v>
      </x:c>
      <x:c r="E15" s="23" t="n">
        <x:f>IFERROR(D15/C15,0)</x:f>
        <x:v>0.25</x:v>
      </x:c>
      <x:c r="F15" s="20" t="str">
        <x:f>IF(E15&gt;=1,"Alcanzada","En progreso")</x:f>
        <x:v>En progreso</x:v>
      </x:c>
      <x:c r="G15" s="2"/>
      <x:c r="H15" s="2"/>
      <x:c r="I15" s="2"/>
      <x:c r="J15" s="2"/>
      <x:c r="K15" s="2"/>
      <x:c r="L15" s="2"/>
    </x:row>
    <x:row r="16" ht="22" customHeight="1">
      <x:c r="A16" s="2"/>
      <x:c r="B16" s="20" t="str">
        <x:f>'Metas y deudas'!B15</x:f>
        <x:v>Viaje de estudios</x:v>
      </x:c>
      <x:c r="C16" s="22" t="n">
        <x:f>'Metas y deudas'!C15</x:f>
        <x:v>1200</x:v>
      </x:c>
      <x:c r="D16" s="22" t="n">
        <x:f>'Metas y deudas'!D15</x:f>
        <x:v>300</x:v>
      </x:c>
      <x:c r="E16" s="23" t="n">
        <x:f>IFERROR(D16/C16,0)</x:f>
        <x:v>0.25</x:v>
      </x:c>
      <x:c r="F16" s="20" t="str">
        <x:f>IF(E16&gt;=1,"Alcanzada","En progreso")</x:f>
        <x:v>En progreso</x:v>
      </x:c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2:H2"/>
    <x:mergeCell ref="B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5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2"/>
      <x:c r="B2" s="3" t="str">
        <x:v>Movimientos del mes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4" t="str">
        <x:v>Registra cada operación una sola vez. Las celdas amarillas son entradas editables.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14" t="str">
        <x:v>Fecha</x:v>
      </x:c>
      <x:c r="C5" s="14" t="str">
        <x:v>Tipo</x:v>
      </x:c>
      <x:c r="D5" s="14" t="str">
        <x:v>Categoría</x:v>
      </x:c>
      <x:c r="E5" s="14" t="str">
        <x:v>Descripción</x:v>
      </x:c>
      <x:c r="F5" s="14" t="str">
        <x:v>Monto</x:v>
      </x:c>
      <x:c r="G5" s="2"/>
      <x:c r="H5" s="2"/>
      <x:c r="I5" s="2"/>
      <x:c r="J5" s="2"/>
      <x:c r="K5" s="2"/>
      <x:c r="L5" s="2"/>
    </x:row>
    <x:row r="6" ht="22" customHeight="1">
      <x:c r="A6" s="2"/>
      <x:c r="B6" s="26" t="n">
        <x:v>46235</x:v>
      </x:c>
      <x:c r="C6" s="25" t="str">
        <x:v>Ingreso</x:v>
      </x:c>
      <x:c r="D6" s="25" t="str">
        <x:v>Trabajo</x:v>
      </x:c>
      <x:c r="E6" s="25" t="str">
        <x:v>Ingreso mensual</x:v>
      </x:c>
      <x:c r="F6" s="27" t="n">
        <x:v>3200</x:v>
      </x:c>
      <x:c r="G6" s="2"/>
      <x:c r="H6" s="2"/>
      <x:c r="I6" s="2"/>
      <x:c r="J6" s="2"/>
      <x:c r="K6" s="2"/>
      <x:c r="L6" s="2"/>
    </x:row>
    <x:row r="7" ht="22" customHeight="1">
      <x:c r="A7" s="2"/>
      <x:c r="B7" s="26" t="n">
        <x:v>46236</x:v>
      </x:c>
      <x:c r="C7" s="25" t="str">
        <x:v>Gasto</x:v>
      </x:c>
      <x:c r="D7" s="25" t="str">
        <x:v>Vivienda</x:v>
      </x:c>
      <x:c r="E7" s="25" t="str">
        <x:v>Alquiler</x:v>
      </x:c>
      <x:c r="F7" s="27" t="n">
        <x:v>850</x:v>
      </x:c>
      <x:c r="G7" s="2"/>
      <x:c r="H7" s="2"/>
      <x:c r="I7" s="2"/>
      <x:c r="J7" s="2"/>
      <x:c r="K7" s="2"/>
      <x:c r="L7" s="2"/>
    </x:row>
    <x:row r="8" ht="22" customHeight="1">
      <x:c r="A8" s="2"/>
      <x:c r="B8" s="26" t="n">
        <x:v>46237</x:v>
      </x:c>
      <x:c r="C8" s="25" t="str">
        <x:v>Gasto</x:v>
      </x:c>
      <x:c r="D8" s="25" t="str">
        <x:v>Alimentación</x:v>
      </x:c>
      <x:c r="E8" s="25" t="str">
        <x:v>Compra semanal</x:v>
      </x:c>
      <x:c r="F8" s="27" t="n">
        <x:v>210</x:v>
      </x:c>
      <x:c r="G8" s="2"/>
      <x:c r="H8" s="2"/>
      <x:c r="I8" s="2"/>
      <x:c r="J8" s="2"/>
      <x:c r="K8" s="2"/>
      <x:c r="L8" s="2"/>
    </x:row>
    <x:row r="9" ht="22" customHeight="1">
      <x:c r="A9" s="2"/>
      <x:c r="B9" s="26" t="n">
        <x:v>46238</x:v>
      </x:c>
      <x:c r="C9" s="25" t="str">
        <x:v>Gasto</x:v>
      </x:c>
      <x:c r="D9" s="25" t="str">
        <x:v>Transporte</x:v>
      </x:c>
      <x:c r="E9" s="25" t="str">
        <x:v>Movilidad</x:v>
      </x:c>
      <x:c r="F9" s="27" t="n">
        <x:v>75</x:v>
      </x:c>
      <x:c r="G9" s="2"/>
      <x:c r="H9" s="2"/>
      <x:c r="I9" s="2"/>
      <x:c r="J9" s="2"/>
      <x:c r="K9" s="2"/>
      <x:c r="L9" s="2"/>
    </x:row>
    <x:row r="10" ht="22" customHeight="1">
      <x:c r="A10" s="2"/>
      <x:c r="B10" s="26" t="n">
        <x:v>46239</x:v>
      </x:c>
      <x:c r="C10" s="25" t="str">
        <x:v>Ahorro</x:v>
      </x:c>
      <x:c r="D10" s="25" t="str">
        <x:v>Ahorro</x:v>
      </x:c>
      <x:c r="E10" s="25" t="str">
        <x:v>Fondo de emergencia</x:v>
      </x:c>
      <x:c r="F10" s="27" t="n">
        <x:v>300</x:v>
      </x:c>
      <x:c r="G10" s="2"/>
      <x:c r="H10" s="2"/>
      <x:c r="I10" s="2"/>
      <x:c r="J10" s="2"/>
      <x:c r="K10" s="2"/>
      <x:c r="L10" s="2"/>
    </x:row>
    <x:row r="11" ht="22" customHeight="1">
      <x:c r="A11" s="2"/>
      <x:c r="B11" s="26" t="n">
        <x:v>46241</x:v>
      </x:c>
      <x:c r="C11" s="25" t="str">
        <x:v>Gasto</x:v>
      </x:c>
      <x:c r="D11" s="25" t="str">
        <x:v>Estudios</x:v>
      </x:c>
      <x:c r="E11" s="25" t="str">
        <x:v>Curso técnico</x:v>
      </x:c>
      <x:c r="F11" s="27" t="n">
        <x:v>180</x:v>
      </x:c>
      <x:c r="G11" s="2"/>
      <x:c r="H11" s="2"/>
      <x:c r="I11" s="2"/>
      <x:c r="J11" s="2"/>
      <x:c r="K11" s="2"/>
      <x:c r="L11" s="2"/>
    </x:row>
    <x:row r="12" ht="22" customHeight="1">
      <x:c r="A12" s="2"/>
      <x:c r="B12" s="26" t="n">
        <x:v>46244</x:v>
      </x:c>
      <x:c r="C12" s="25" t="str">
        <x:v>Gasto</x:v>
      </x:c>
      <x:c r="D12" s="25" t="str">
        <x:v>Servicios</x:v>
      </x:c>
      <x:c r="E12" s="25" t="str">
        <x:v>Internet y teléfono</x:v>
      </x:c>
      <x:c r="F12" s="27" t="n">
        <x:v>120</x:v>
      </x:c>
      <x:c r="G12" s="2"/>
      <x:c r="H12" s="2"/>
      <x:c r="I12" s="2"/>
      <x:c r="J12" s="2"/>
      <x:c r="K12" s="2"/>
      <x:c r="L12" s="2"/>
    </x:row>
    <x:row r="13" ht="22" customHeight="1">
      <x:c r="A13" s="2"/>
      <x:c r="B13" s="26" t="n">
        <x:v>46246</x:v>
      </x:c>
      <x:c r="C13" s="25" t="str">
        <x:v>Ingreso</x:v>
      </x:c>
      <x:c r="D13" s="25" t="str">
        <x:v>Trabajo</x:v>
      </x:c>
      <x:c r="E13" s="25" t="str">
        <x:v>Servicio independiente</x:v>
      </x:c>
      <x:c r="F13" s="27" t="n">
        <x:v>450</x:v>
      </x:c>
      <x:c r="G13" s="2"/>
      <x:c r="H13" s="2"/>
      <x:c r="I13" s="2"/>
      <x:c r="J13" s="2"/>
      <x:c r="K13" s="2"/>
      <x:c r="L13" s="2"/>
    </x:row>
    <x:row r="14" ht="22" customHeight="1">
      <x:c r="A14" s="2"/>
      <x:c r="B14" s="26" t="n">
        <x:v>46249</x:v>
      </x:c>
      <x:c r="C14" s="25" t="str">
        <x:v>Gasto</x:v>
      </x:c>
      <x:c r="D14" s="25" t="str">
        <x:v>Alimentación</x:v>
      </x:c>
      <x:c r="E14" s="25" t="str">
        <x:v>Compra semanal</x:v>
      </x:c>
      <x:c r="F14" s="27" t="n">
        <x:v>195</x:v>
      </x:c>
      <x:c r="G14" s="2"/>
      <x:c r="H14" s="2"/>
      <x:c r="I14" s="2"/>
      <x:c r="J14" s="2"/>
      <x:c r="K14" s="2"/>
      <x:c r="L14" s="2"/>
    </x:row>
    <x:row r="15" ht="22" customHeight="1">
      <x:c r="A15" s="2"/>
      <x:c r="B15" s="26" t="n">
        <x:v>46252</x:v>
      </x:c>
      <x:c r="C15" s="25" t="str">
        <x:v>Gasto</x:v>
      </x:c>
      <x:c r="D15" s="25" t="str">
        <x:v>Transporte</x:v>
      </x:c>
      <x:c r="E15" s="25" t="str">
        <x:v>Movilidad</x:v>
      </x:c>
      <x:c r="F15" s="27" t="n">
        <x:v>68</x:v>
      </x:c>
      <x:c r="G15" s="2"/>
      <x:c r="H15" s="2"/>
      <x:c r="I15" s="2"/>
      <x:c r="J15" s="2"/>
      <x:c r="K15" s="2"/>
      <x:c r="L15" s="2"/>
    </x:row>
    <x:row r="16" ht="22" customHeight="1">
      <x:c r="A16" s="2"/>
      <x:c r="B16" s="26" t="n">
        <x:v>46255</x:v>
      </x:c>
      <x:c r="C16" s="25" t="str">
        <x:v>Ahorro</x:v>
      </x:c>
      <x:c r="D16" s="25" t="str">
        <x:v>Ahorro</x:v>
      </x:c>
      <x:c r="E16" s="25" t="str">
        <x:v>Meta de equipo</x:v>
      </x:c>
      <x:c r="F16" s="27" t="n">
        <x:v>150</x:v>
      </x:c>
      <x:c r="G16" s="2"/>
      <x:c r="H16" s="2"/>
      <x:c r="I16" s="2"/>
      <x:c r="J16" s="2"/>
      <x:c r="K16" s="2"/>
      <x:c r="L16" s="2"/>
    </x:row>
    <x:row r="17" ht="22" customHeight="1">
      <x:c r="A17" s="2"/>
      <x:c r="B17" s="26" t="n">
        <x:v>46258</x:v>
      </x:c>
      <x:c r="C17" s="25" t="str">
        <x:v>Gasto</x:v>
      </x:c>
      <x:c r="D17" s="25" t="str">
        <x:v>Otros</x:v>
      </x:c>
      <x:c r="E17" s="25" t="str">
        <x:v>Imprevisto menor</x:v>
      </x:c>
      <x:c r="F17" s="27" t="n">
        <x:v>90</x:v>
      </x:c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2:F2"/>
    <x:mergeCell ref="B3:F3"/>
  </x:mergeCells>
  <x:dataValidations count="1">
    <x:dataValidation type="list" sqref="C6:C17">
      <x:formula1>"Ingreso,Gasto,Ahorro"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2"/>
      <x:c r="B2" s="3" t="str">
        <x:v>Presupuesto por categoría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4" t="str">
        <x:v>Compara el presupuesto editable con los gastos registrados.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14" t="str">
        <x:v>Categoría</x:v>
      </x:c>
      <x:c r="C5" s="14" t="str">
        <x:v>Presupuesto</x:v>
      </x:c>
      <x:c r="D5" s="14" t="str">
        <x:v>Gastado</x:v>
      </x:c>
      <x:c r="E5" s="14" t="str">
        <x:v>Disponible</x:v>
      </x:c>
      <x:c r="F5" s="14" t="str">
        <x:v>% utilizado</x:v>
      </x:c>
      <x:c r="G5" s="2"/>
      <x:c r="H5" s="2"/>
      <x:c r="I5" s="2"/>
      <x:c r="J5" s="2"/>
      <x:c r="K5" s="2"/>
      <x:c r="L5" s="2"/>
    </x:row>
    <x:row r="6" ht="22" customHeight="1">
      <x:c r="A6" s="2"/>
      <x:c r="B6" s="25" t="str">
        <x:v>Vivienda</x:v>
      </x:c>
      <x:c r="C6" s="28" t="n">
        <x:v>900</x:v>
      </x:c>
      <x:c r="D6" s="21" t="n">
        <x:f>SUMIFS(Movimientos!$F$6:$F$17,Movimientos!$C$6:$C$17,"Gasto",Movimientos!$D$6:$D$17,B6)</x:f>
        <x:v>850</x:v>
      </x:c>
      <x:c r="E6" s="21" t="n">
        <x:f>C6-D6</x:f>
        <x:v>50</x:v>
      </x:c>
      <x:c r="F6" s="23" t="n">
        <x:f>IFERROR(D6/C6,0)</x:f>
        <x:v>0.9444444444444444</x:v>
      </x:c>
      <x:c r="G6" s="2"/>
      <x:c r="H6" s="2"/>
      <x:c r="I6" s="2"/>
      <x:c r="J6" s="2"/>
      <x:c r="K6" s="2"/>
      <x:c r="L6" s="2"/>
    </x:row>
    <x:row r="7" ht="22" customHeight="1">
      <x:c r="A7" s="2"/>
      <x:c r="B7" s="25" t="str">
        <x:v>Alimentación</x:v>
      </x:c>
      <x:c r="C7" s="28" t="n">
        <x:v>500</x:v>
      </x:c>
      <x:c r="D7" s="21" t="n">
        <x:f>SUMIFS(Movimientos!$F$6:$F$17,Movimientos!$C$6:$C$17,"Gasto",Movimientos!$D$6:$D$17,B7)</x:f>
        <x:v>405</x:v>
      </x:c>
      <x:c r="E7" s="21" t="n">
        <x:f>C7-D7</x:f>
        <x:v>95</x:v>
      </x:c>
      <x:c r="F7" s="23" t="n">
        <x:f>IFERROR(D7/C7,0)</x:f>
        <x:v>0.81</x:v>
      </x:c>
      <x:c r="G7" s="2"/>
      <x:c r="H7" s="2"/>
      <x:c r="I7" s="2"/>
      <x:c r="J7" s="2"/>
      <x:c r="K7" s="2"/>
      <x:c r="L7" s="2"/>
    </x:row>
    <x:row r="8" ht="22" customHeight="1">
      <x:c r="A8" s="2"/>
      <x:c r="B8" s="25" t="str">
        <x:v>Transporte</x:v>
      </x:c>
      <x:c r="C8" s="28" t="n">
        <x:v>180</x:v>
      </x:c>
      <x:c r="D8" s="21" t="n">
        <x:f>SUMIFS(Movimientos!$F$6:$F$17,Movimientos!$C$6:$C$17,"Gasto",Movimientos!$D$6:$D$17,B8)</x:f>
        <x:v>143</x:v>
      </x:c>
      <x:c r="E8" s="21" t="n">
        <x:f>C8-D8</x:f>
        <x:v>37</x:v>
      </x:c>
      <x:c r="F8" s="23" t="n">
        <x:f>IFERROR(D8/C8,0)</x:f>
        <x:v>0.7944444444444444</x:v>
      </x:c>
      <x:c r="G8" s="2"/>
      <x:c r="H8" s="2"/>
      <x:c r="I8" s="2"/>
      <x:c r="J8" s="2"/>
      <x:c r="K8" s="2"/>
      <x:c r="L8" s="2"/>
    </x:row>
    <x:row r="9" ht="22" customHeight="1">
      <x:c r="A9" s="2"/>
      <x:c r="B9" s="25" t="str">
        <x:v>Estudios</x:v>
      </x:c>
      <x:c r="C9" s="28" t="n">
        <x:v>250</x:v>
      </x:c>
      <x:c r="D9" s="21" t="n">
        <x:f>SUMIFS(Movimientos!$F$6:$F$17,Movimientos!$C$6:$C$17,"Gasto",Movimientos!$D$6:$D$17,B9)</x:f>
        <x:v>180</x:v>
      </x:c>
      <x:c r="E9" s="21" t="n">
        <x:f>C9-D9</x:f>
        <x:v>70</x:v>
      </x:c>
      <x:c r="F9" s="23" t="n">
        <x:f>IFERROR(D9/C9,0)</x:f>
        <x:v>0.72</x:v>
      </x:c>
      <x:c r="G9" s="2"/>
      <x:c r="H9" s="2"/>
      <x:c r="I9" s="2"/>
      <x:c r="J9" s="2"/>
      <x:c r="K9" s="2"/>
      <x:c r="L9" s="2"/>
    </x:row>
    <x:row r="10" ht="22" customHeight="1">
      <x:c r="A10" s="2"/>
      <x:c r="B10" s="25" t="str">
        <x:v>Servicios</x:v>
      </x:c>
      <x:c r="C10" s="28" t="n">
        <x:v>160</x:v>
      </x:c>
      <x:c r="D10" s="21" t="n">
        <x:f>SUMIFS(Movimientos!$F$6:$F$17,Movimientos!$C$6:$C$17,"Gasto",Movimientos!$D$6:$D$17,B10)</x:f>
        <x:v>120</x:v>
      </x:c>
      <x:c r="E10" s="21" t="n">
        <x:f>C10-D10</x:f>
        <x:v>40</x:v>
      </x:c>
      <x:c r="F10" s="23" t="n">
        <x:f>IFERROR(D10/C10,0)</x:f>
        <x:v>0.75</x:v>
      </x:c>
      <x:c r="G10" s="2"/>
      <x:c r="H10" s="2"/>
      <x:c r="I10" s="2"/>
      <x:c r="J10" s="2"/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2:F2"/>
    <x:mergeCell ref="B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2"/>
      <x:c r="B2" s="3" t="str">
        <x:v>Metas y deudas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4" t="str">
        <x:v>Separa el seguimiento de obligaciones del progreso de ahorro.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14" t="str">
        <x:v>Deuda</x:v>
      </x:c>
      <x:c r="C5" s="14" t="str">
        <x:v>Saldo inicial</x:v>
      </x:c>
      <x:c r="D5" s="14" t="str">
        <x:v>Cuota</x:v>
      </x:c>
      <x:c r="E5" s="14" t="str">
        <x:v>Pagado</x:v>
      </x:c>
      <x:c r="F5" s="14" t="str">
        <x:v>Vencimiento</x:v>
      </x:c>
      <x:c r="G5" s="14" t="str">
        <x:v>Saldo pendiente</x:v>
      </x:c>
      <x:c r="H5" s="2"/>
      <x:c r="I5" s="2"/>
      <x:c r="J5" s="2"/>
      <x:c r="K5" s="2"/>
      <x:c r="L5" s="2"/>
    </x:row>
    <x:row r="6" ht="22" customHeight="1">
      <x:c r="A6" s="2"/>
      <x:c r="B6" s="25" t="str">
        <x:v>Equipo de estudio</x:v>
      </x:c>
      <x:c r="C6" s="27" t="n">
        <x:v>1400</x:v>
      </x:c>
      <x:c r="D6" s="27" t="n">
        <x:v>175</x:v>
      </x:c>
      <x:c r="E6" s="27" t="n">
        <x:v>350</x:v>
      </x:c>
      <x:c r="F6" s="26" t="n">
        <x:v>46277</x:v>
      </x:c>
      <x:c r="G6" s="22" t="n">
        <x:f>IF(B6="","",MAX(C6-E6,0))</x:f>
        <x:v>1050</x:v>
      </x:c>
      <x:c r="H6" s="2"/>
      <x:c r="I6" s="2"/>
      <x:c r="J6" s="2"/>
      <x:c r="K6" s="2"/>
      <x:c r="L6" s="2"/>
    </x:row>
    <x:row r="7" ht="22" customHeight="1">
      <x:c r="A7" s="2"/>
      <x:c r="B7" s="25" t="str">
        <x:v>Curso especializado</x:v>
      </x:c>
      <x:c r="C7" s="27" t="n">
        <x:v>900</x:v>
      </x:c>
      <x:c r="D7" s="27" t="n">
        <x:v>150</x:v>
      </x:c>
      <x:c r="E7" s="27" t="n">
        <x:v>300</x:v>
      </x:c>
      <x:c r="F7" s="26" t="n">
        <x:v>46285</x:v>
      </x:c>
      <x:c r="G7" s="22" t="n">
        <x:f>IF(B7="","",MAX(C7-E7,0))</x:f>
        <x:v>600</x:v>
      </x:c>
      <x:c r="H7" s="2"/>
      <x:c r="I7" s="2"/>
      <x:c r="J7" s="2"/>
      <x:c r="K7" s="2"/>
      <x:c r="L7" s="2"/>
    </x:row>
    <x:row r="8" ht="22" customHeight="1">
      <x:c r="A8" s="2"/>
      <x:c r="B8" s="25" t="str">
        <x:v>Préstamo personal</x:v>
      </x:c>
      <x:c r="C8" s="27" t="n">
        <x:v>1200</x:v>
      </x:c>
      <x:c r="D8" s="27" t="n">
        <x:v>200</x:v>
      </x:c>
      <x:c r="E8" s="27" t="n">
        <x:v>400</x:v>
      </x:c>
      <x:c r="F8" s="26" t="n">
        <x:v>46293</x:v>
      </x:c>
      <x:c r="G8" s="22" t="n">
        <x:f>IF(B8="","",MAX(C8-E8,0))</x:f>
        <x:v>800</x:v>
      </x:c>
      <x:c r="H8" s="2"/>
      <x:c r="I8" s="2"/>
      <x:c r="J8" s="2"/>
      <x:c r="K8" s="2"/>
      <x:c r="L8" s="2"/>
    </x:row>
    <x:row r="9" ht="22" customHeight="1">
      <x:c r="A9" s="2"/>
      <x:c r="B9" s="25"/>
      <x:c r="C9" s="27"/>
      <x:c r="D9" s="27"/>
      <x:c r="E9" s="27"/>
      <x:c r="F9" s="26"/>
      <x:c r="G9" s="22" t="str">
        <x:f>IF(B9="","",MAX(C9-E9,0))</x:f>
      </x:c>
      <x:c r="H9" s="2"/>
      <x:c r="I9" s="2"/>
      <x:c r="J9" s="2"/>
      <x:c r="K9" s="2"/>
      <x:c r="L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14" t="str">
        <x:v>Meta</x:v>
      </x:c>
      <x:c r="C12" s="14" t="str">
        <x:v>Monto objetivo</x:v>
      </x:c>
      <x:c r="D12" s="14" t="str">
        <x:v>Ahorrado</x:v>
      </x:c>
      <x:c r="E12" s="14" t="str">
        <x:v>Fecha objetivo</x:v>
      </x:c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25" t="str">
        <x:v>Fondo de emergencia</x:v>
      </x:c>
      <x:c r="C13" s="27" t="n">
        <x:v>3000</x:v>
      </x:c>
      <x:c r="D13" s="27" t="n">
        <x:v>850</x:v>
      </x:c>
      <x:c r="E13" s="26" t="n">
        <x:v>46477</x:v>
      </x:c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5" t="str">
        <x:v>Equipo de trabajo</x:v>
      </x:c>
      <x:c r="C14" s="27" t="n">
        <x:v>1800</x:v>
      </x:c>
      <x:c r="D14" s="27" t="n">
        <x:v>450</x:v>
      </x:c>
      <x:c r="E14" s="26" t="n">
        <x:v>46376</x:v>
      </x:c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5" t="str">
        <x:v>Viaje de estudios</x:v>
      </x:c>
      <x:c r="C15" s="27" t="n">
        <x:v>1200</x:v>
      </x:c>
      <x:c r="D15" s="27" t="n">
        <x:v>300</x:v>
      </x:c>
      <x:c r="E15" s="26" t="n">
        <x:v>46568</x:v>
      </x:c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2:G2"/>
    <x:mergeCell ref="B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7706"/>
  </x:sheetPr>
  <x:sheetViews>
    <x:sheetView showGridLines="0" workbookViewId="0"/>
  </x:sheetViews>
  <x:sheetFormatPr defaultRowHeight="15"/>
  <x:cols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2"/>
      <x:c r="B2" s="3" t="str">
        <x:v>Reto: analiza otro mes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4" t="str">
        <x:v>Trabaja sobre una copia del libro y documenta tus comprobaciones.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9" t="str">
        <x:v>Actividad</x:v>
      </x:c>
      <x:c r="C5" s="29"/>
      <x:c r="D5" s="29"/>
      <x:c r="E5" s="29"/>
      <x:c r="F5" s="29"/>
      <x:c r="G5" s="29"/>
      <x:c r="H5" s="2"/>
      <x:c r="I5" s="2"/>
      <x:c r="J5" s="2"/>
      <x:c r="K5" s="2"/>
      <x:c r="L5" s="2"/>
    </x:row>
    <x:row r="6" ht="22" customHeight="1">
      <x:c r="A6" s="2"/>
      <x:c r="B6" s="2" t="str">
        <x:v>1. Agrega ocho movimientos de un mes distinto.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/>
      <x:c r="B7" s="2" t="str">
        <x:v>2. Amplía el presupuesto con dos categorías.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2" customHeight="1">
      <x:c r="A8" s="2"/>
      <x:c r="B8" s="2" t="str">
        <x:v>3. Calcula la tasa de ahorro: ahorro dividido entre ingresos.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2" customHeight="1">
      <x:c r="A9" s="2"/>
      <x:c r="B9" s="2" t="str">
        <x:v>4. Identifica la deuda que requiere atención primero.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14" t="str">
        <x:v>Comprobación</x:v>
      </x:c>
      <x:c r="C12" s="14" t="str">
        <x:v>Estado</x:v>
      </x:c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20" t="str">
        <x:v>Ingresos y gastos coinciden con movimientos</x:v>
      </x:c>
      <x:c r="C13" s="25" t="str">
        <x:v>Pendiente</x:v>
      </x:c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0" t="str">
        <x:v>El presupuesto responde a nuevas filas</x:v>
      </x:c>
      <x:c r="C14" s="25" t="str">
        <x:v>Pendiente</x:v>
      </x:c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0" t="str">
        <x:v>Las deudas nunca muestran saldo negativo</x:v>
      </x:c>
      <x:c r="C15" s="25" t="str">
        <x:v>Pendiente</x:v>
      </x:c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20" t="str">
        <x:v>No existen errores de fórmula</x:v>
      </x:c>
      <x:c r="C16" s="25" t="str">
        <x:v>Pendiente</x:v>
      </x:c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2:G2"/>
    <x:mergeCell ref="B3:G3"/>
    <x:mergeCell ref="B5:G5"/>
    <x:mergeCell ref="B6:G6"/>
    <x:mergeCell ref="B7:G7"/>
    <x:mergeCell ref="B8:G8"/>
    <x:mergeCell ref="B9:G9"/>
  </x:mergeCells>
  <x:dataValidations count="1">
    <x:dataValidation type="list" sqref="C13:C16">
      <x:formula1>"Pendiente,Completado"</x:formula1>
    </x:dataValidation>
  </x:dataValidations>
  <x:pageMargins left="0.7" right="0.7" top="0.75" bottom="0.75" header="0.3" footer="0.3"/>
</x:worksheet>
</file>