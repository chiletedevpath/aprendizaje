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095060cf7e4c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 de vuelos" sheetId="1" r:id="R75fea396a59044ec"/>
    <x:sheet xmlns:r="http://schemas.openxmlformats.org/officeDocument/2006/relationships" name="Resumen" sheetId="2" r:id="Rf33fdf66686f4071"/>
    <x:sheet xmlns:r="http://schemas.openxmlformats.org/officeDocument/2006/relationships" name="Maestros" sheetId="3" r:id="Rb77e31e151d3493a"/>
  </x:sheets>
</x:workbook>
</file>

<file path=xl/sharedStrings.xml><?xml version="1.0" encoding="utf-8"?>
<x:sst xmlns:x="http://schemas.openxmlformats.org/spreadsheetml/2006/main">
  <x:si>
    <x:t xml:space="preserve">CONTROL DE VUELOS</x:t>
  </x:si>
  <x:si>
    <x:t xml:space="preserve">Fecha</x:t>
  </x:si>
  <x:si>
    <x:t xml:space="preserve">Hora</x:t>
  </x:si>
  <x:si>
    <x:t xml:space="preserve">Turno</x:t>
  </x:si>
  <x:si>
    <x:t xml:space="preserve">Nombre del Reportante</x:t>
  </x:si>
  <x:si>
    <x:t xml:space="preserve">Ubicación</x:t>
  </x:si>
  <x:si>
    <x:t xml:space="preserve">Nro. Vuelos realizados</x:t>
  </x:si>
  <x:si>
    <x:t xml:space="preserve">Motivo de no vuelo</x:t>
  </x:si>
  <x:si>
    <x:t xml:space="preserve">¿Hubo novedad?</x:t>
  </x:si>
  <x:si>
    <x:t xml:space="preserve">Descripción</x:t>
  </x:si>
  <x:si>
    <x:t xml:space="preserve">Observaciones</x:t>
  </x:si>
  <x:si>
    <x:t xml:space="preserve">Vista general de la operación</x:t>
  </x:si>
  <x:si>
    <x:t xml:space="preserve">Fecha de consulta</x:t>
  </x:si>
  <x:si>
    <x:t xml:space="preserve">Vuelos</x:t>
  </x:si>
  <x:si>
    <x:t xml:space="preserve">Consolidar</x:t>
  </x:si>
  <x:si>
    <x:t xml:space="preserve">Vuelos consolidados</x:t>
  </x:si>
  <x:si>
    <x:t xml:space="preserve">Vuelos mes</x:t>
  </x:si>
  <x:si>
    <x:t xml:space="preserve">VUELOS HOY</x:t>
  </x:si>
  <x:si>
    <x:t xml:space="preserve">SEMANA ACTUAL</x:t>
  </x:si>
  <x:si>
    <x:t xml:space="preserve">MES ACTUAL</x:t>
  </x:si>
  <x:si>
    <x:t xml:space="preserve">AÑO ACTUAL</x:t>
  </x:si>
  <x:si>
    <x:t xml:space="preserve">REPORTES HOY</x:t>
  </x:si>
  <x:si>
    <x:t xml:space="preserve">CON VUELOS</x:t>
  </x:si>
  <x:si>
    <x:t xml:space="preserve">SIN VUELOS</x:t>
  </x:si>
  <x:si>
    <x:t xml:space="preserve">CON NOVEDAD</x:t>
  </x:si>
  <x:si>
    <x:t xml:space="preserve">ACTIVIDAD DEL MES</x:t>
  </x:si>
  <x:si>
    <x:t xml:space="preserve">MOTIVOS SIN VUELO - MES</x:t>
  </x:si>
  <x:si>
    <x:t xml:space="preserve">Indicador</x:t>
  </x:si>
  <x:si>
    <x:t xml:space="preserve">Cantidad</x:t>
  </x:si>
  <x:si>
    <x:t xml:space="preserve">Motivo</x:t>
  </x:si>
  <x:si>
    <x:t xml:space="preserve">Reportes</x:t>
  </x:si>
  <x:si>
    <x:t xml:space="preserve">Reportes con vuelos</x:t>
  </x:si>
  <x:si>
    <x:t xml:space="preserve">Reportes sin vuelos</x:t>
  </x:si>
  <x:si>
    <x:t xml:space="preserve">Reportes con novedad</x:t>
  </x:si>
  <x:si>
    <x:t xml:space="preserve">Día</x:t>
  </x:si>
  <x:si>
    <x:t xml:space="preserve">Sí</x:t>
  </x:si>
  <x:si>
    <x:t xml:space="preserve">Clima Adverso</x:t>
  </x:si>
  <x:si>
    <x:t xml:space="preserve">Noche</x:t>
  </x:si>
  <x:si>
    <x:t xml:space="preserve">No</x:t>
  </x:si>
  <x:si>
    <x:t xml:space="preserve">No aplica</x:t>
  </x:si>
  <x:si>
    <x:t xml:space="preserve">Seguridad</x:t>
  </x:si>
  <x:si>
    <x:t xml:space="preserve">Operacional</x:t>
  </x:si>
  <x:si>
    <x:t xml:space="preserve">Otro</x:t>
  </x:si>
</x:sst>
</file>

<file path=xl/styles.xml><?xml version="1.0" encoding="utf-8"?>
<x:styleSheet xmlns:x="http://schemas.openxmlformats.org/spreadsheetml/2006/main">
  <x:numFmts count="4">
    <x:numFmt numFmtId="164" formatCode="dd/mm/yyyy"/>
    <x:numFmt numFmtId="165" formatCode="dd/mm"/>
    <x:numFmt numFmtId="200" formatCode="hh:mm"/>
    <x:numFmt numFmtId="201" formatCode="0"/>
  </x:numFmts>
  <x:fonts count="15">
    <x:font>
      <x:sz val="11"/>
      <x:name val="Carlito"/>
    </x:font>
    <x:font>
      <x:b/>
      <x:sz val="11"/>
      <x:color rgb="FF1F2937"/>
      <x:name val="Calibri"/>
      <x:family val="2"/>
    </x:font>
    <x:font>
      <x:sz val="11"/>
      <x:color rgb="FF1F2937"/>
      <x:name val="Calibri"/>
      <x:family val="2"/>
    </x:font>
    <x:font>
      <x:sz val="10"/>
      <x:color rgb="FF273142"/>
      <x:name val="Calibri"/>
      <x:family val="2"/>
    </x:font>
    <x:font>
      <x:sz val="8"/>
      <x:color rgb="FFFFFFFF"/>
      <x:name val="Calibri"/>
      <x:family val="2"/>
    </x:font>
    <x:font>
      <x:b/>
      <x:sz val="17"/>
      <x:color rgb="FFFFFFFF"/>
      <x:name val="Aptos Display"/>
      <x:family val="2"/>
    </x:font>
    <x:font>
      <x:i/>
      <x:sz val="10"/>
      <x:color rgb="FF5B6573"/>
      <x:name val="Aptos"/>
      <x:family val="2"/>
    </x:font>
    <x:font>
      <x:b/>
      <x:sz val="10"/>
      <x:color rgb="FFFFFFFF"/>
      <x:name val="Aptos"/>
      <x:family val="2"/>
    </x:font>
    <x:font>
      <x:sz val="10"/>
      <x:color rgb="FF243447"/>
      <x:name val="Aptos"/>
      <x:family val="2"/>
    </x:font>
    <x:font>
      <x:b/>
      <x:sz val="16"/>
      <x:color rgb="FFFFFFFF"/>
      <x:name val="Aptos Display"/>
      <x:family val="2"/>
    </x:font>
    <x:font>
      <x:sz val="10"/>
      <x:color rgb="FF5B6573"/>
      <x:name val="Aptos"/>
      <x:family val="2"/>
    </x:font>
    <x:font>
      <x:b/>
      <x:sz val="18"/>
      <x:color rgb="FFFFFFFF"/>
      <x:name val="Aptos Display"/>
      <x:family val="2"/>
    </x:font>
    <x:font>
      <x:b/>
      <x:sz val="10"/>
      <x:color rgb="FF1F4E78"/>
      <x:name val="Aptos"/>
      <x:family val="2"/>
    </x:font>
    <x:font>
      <x:b/>
      <x:sz val="24"/>
      <x:color rgb="FF17365D"/>
      <x:name val="Aptos Display"/>
      <x:family val="2"/>
    </x:font>
    <x:font>
      <x:b/>
      <x:sz val="20"/>
      <x:color rgb="FF17365D"/>
      <x:name val="Aptos Display"/>
      <x:family val="2"/>
    </x:font>
  </x:fonts>
  <x:fills count="13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  <x:fill>
      <x:patternFill patternType="solid">
        <x:fgColor rgb="FFF8FBFE"/>
      </x:patternFill>
    </x:fill>
    <x:fill>
      <x:patternFill patternType="solid">
        <x:fgColor rgb="FFD9EAF7"/>
      </x:patternFill>
    </x:fill>
    <x:fill>
      <x:patternFill patternType="solid">
        <x:fgColor rgb="FFEAF0F5"/>
      </x:patternFill>
    </x:fill>
    <x:fill>
      <x:patternFill patternType="solid">
        <x:fgColor rgb="FF1F4E78"/>
      </x:patternFill>
    </x:fill>
    <x:fill>
      <x:patternFill patternType="solid">
        <x:fgColor rgb="FFF8FAFC"/>
      </x:patternFill>
    </x:fill>
  </x:fills>
  <x:borders count="26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 style="thin">
        <x:color rgb="FF9EB6CE"/>
      </x:bottom>
      <x:diagonal/>
    </x:border>
    <x:border>
      <x:left/>
      <x:right/>
      <x:top/>
      <x:bottom/>
      <x:diagonal/>
    </x:border>
    <x:border>
      <x:left/>
      <x:right/>
      <x:top/>
      <x:bottom style="thin">
        <x:color rgb="FFD6DEE8"/>
      </x:bottom>
      <x:diagonal/>
    </x:border>
    <x:border>
      <x:left style="thin">
        <x:color rgb="FFB8C8D8"/>
      </x:left>
      <x:right style="thin">
        <x:color rgb="FFB8C8D8"/>
      </x:right>
      <x:top style="thin">
        <x:color rgb="FFB8C8D8"/>
      </x:top>
      <x:bottom/>
      <x:diagonal/>
    </x:border>
    <x:border>
      <x:left style="thin">
        <x:color rgb="FFB8C8D8"/>
      </x:left>
      <x:right style="thin">
        <x:color rgb="FFB8C8D8"/>
      </x:right>
      <x:top/>
      <x:bottom style="thin">
        <x:color rgb="FFB8C8D8"/>
      </x:bottom>
      <x:diagonal/>
    </x:border>
    <x:border>
      <x:left style="thin">
        <x:color rgb="FFD6DEE8"/>
      </x:left>
      <x:right style="thin">
        <x:color rgb="FFD6DEE8"/>
      </x:right>
      <x:top style="thin">
        <x:color rgb="FFD6DEE8"/>
      </x:top>
      <x:bottom/>
      <x:diagonal/>
    </x:border>
    <x:border>
      <x:left style="thin">
        <x:color rgb="FFD6DEE8"/>
      </x:left>
      <x:right style="thin">
        <x:color rgb="FFD6DEE8"/>
      </x:right>
      <x:top/>
      <x:bottom style="thin">
        <x:color rgb="FFD6DEE8"/>
      </x:bottom>
      <x:diagonal/>
    </x:border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  <x:diagonal/>
    </x:border>
    <x:border>
      <x:left/>
      <x:right/>
      <x:top style="thin">
        <x:color rgb="FFD6DEE8"/>
      </x:top>
      <x:bottom/>
      <x:diagonal/>
    </x:border>
    <x:border>
      <x:left/>
      <x:right style="thin">
        <x:color rgb="FFD6DEE8"/>
      </x:right>
      <x:top style="thin">
        <x:color rgb="FFD6DEE8"/>
      </x:top>
      <x:bottom/>
      <x:diagonal/>
    </x:border>
    <x:border>
      <x:left/>
      <x:right style="thin">
        <x:color rgb="FFD6DEE8"/>
      </x:right>
      <x:top style="thin">
        <x:color rgb="FFD6DEE8"/>
      </x:top>
      <x:bottom style="thin">
        <x:color rgb="FFD6DEE8"/>
      </x:bottom>
      <x:diagonal/>
    </x:border>
    <x:border>
      <x:left/>
      <x:right/>
      <x:top style="thin">
        <x:color rgb="FFD6DEE8"/>
      </x:top>
      <x:bottom style="thin">
        <x:color rgb="FFD6DEE8"/>
      </x:bottom>
      <x:diagonal/>
    </x:border>
    <x:border>
      <x:left style="thin">
        <x:color rgb="FFD6DEE8"/>
      </x:left>
      <x:right/>
      <x:top/>
      <x:bottom/>
      <x:diagonal/>
    </x:border>
    <x:border>
      <x:left/>
      <x:right style="thin">
        <x:color rgb="FFD6DEE8"/>
      </x:right>
      <x:top/>
      <x:bottom/>
      <x:diagonal/>
    </x:border>
    <x:border>
      <x:left style="thin">
        <x:color rgb="FFD6DEE8"/>
      </x:left>
      <x:right/>
      <x:top/>
      <x:bottom style="thin">
        <x:color rgb="FFD6DEE8"/>
      </x:bottom>
      <x:diagonal/>
    </x:border>
    <x:border>
      <x:left/>
      <x:right/>
      <x:top/>
      <x:bottom style="thin">
        <x:color rgb="FFD6DEE8"/>
      </x:bottom>
      <x:diagonal/>
    </x:border>
    <x:border>
      <x:left/>
      <x:right style="thin">
        <x:color rgb="FFD6DEE8"/>
      </x:right>
      <x:top/>
      <x:bottom style="thin">
        <x:color rgb="FFD6DEE8"/>
      </x:bottom>
      <x:diagonal/>
    </x:border>
    <x:border>
      <x:left/>
      <x:right/>
      <x:top style="thin">
        <x:color rgb="FFB8C8D8"/>
      </x:top>
      <x:bottom/>
      <x:diagonal/>
    </x:border>
    <x:border>
      <x:left/>
      <x:right style="thin">
        <x:color rgb="FFB8C8D8"/>
      </x:right>
      <x:top style="thin">
        <x:color rgb="FFB8C8D8"/>
      </x:top>
      <x:bottom/>
      <x:diagonal/>
    </x:border>
    <x:border>
      <x:left style="thin">
        <x:color rgb="FFB8C8D8"/>
      </x:left>
      <x:right/>
      <x:top/>
      <x:bottom/>
      <x:diagonal/>
    </x:border>
    <x:border>
      <x:left/>
      <x:right style="thin">
        <x:color rgb="FFB8C8D8"/>
      </x:right>
      <x:top/>
      <x:bottom/>
      <x:diagonal/>
    </x:border>
    <x:border>
      <x:left style="thin">
        <x:color rgb="FFB8C8D8"/>
      </x:left>
      <x:right/>
      <x:top/>
      <x:bottom style="thin">
        <x:color rgb="FFB8C8D8"/>
      </x:bottom>
      <x:diagonal/>
    </x:border>
    <x:border>
      <x:left/>
      <x:right/>
      <x:top/>
      <x:bottom style="thin">
        <x:color rgb="FFB8C8D8"/>
      </x:bottom>
      <x:diagonal/>
    </x:border>
    <x:border>
      <x:left/>
      <x:right style="thin">
        <x:color rgb="FFB8C8D8"/>
      </x:right>
      <x:top/>
      <x:bottom style="thin">
        <x:color rgb="FFB8C8D8"/>
      </x:bottom>
      <x:diagonal/>
    </x:border>
  </x:borders>
  <x:cellStyleXfs count="1">
    <x:xf numFmtId="0" fontId="0" fillId="0" borderId="1"/>
  </x:cellStyleXfs>
  <x:cellXfs count="95">
    <x:xf numFmtId="0" fontId="0" fillId="0" borderId="0" xfId="0" applyBorder="1"/>
    <x:xf numFmtId="0" fontId="2" fillId="2" borderId="0" xfId="0" applyFont="1" applyFill="1" applyBorder="1"/>
    <x:xf numFmtId="0" fontId="2" fillId="2" borderId="0" xfId="0" applyFont="1" applyFill="1" applyBorder="1" applyAlignment="1">
      <x:alignment vertical="center"/>
    </x:xf>
    <x:xf numFmtId="0" fontId="0" fillId="0" borderId="0" xfId="0" applyBorder="1" applyAlignment="1">
      <x:alignment horizontal="center"/>
    </x:xf>
    <x:xf numFmtId="164" fontId="0" fillId="0" borderId="0" xfId="0" applyNumberFormat="1" applyBorder="1" applyAlignment="1">
      <x:alignment horizontal="center"/>
    </x:xf>
    <x:xf numFmtId="0" fontId="0" fillId="0" borderId="0" xfId="0" applyBorder="1" applyAlignment="1">
      <x:alignment vertical="center"/>
    </x:xf>
    <x:xf numFmtId="0" fontId="0" fillId="3" borderId="0" xfId="0" applyFill="1" applyBorder="1"/>
    <x:xf numFmtId="164" fontId="0" fillId="0" borderId="0" xfId="0" applyNumberFormat="1" applyBorder="1"/>
    <x:xf numFmtId="20" fontId="0" fillId="0" borderId="0" xfId="0" applyNumberFormat="1" applyBorder="1"/>
    <x:xf numFmtId="1" fontId="0" fillId="0" borderId="0" xfId="0" applyNumberFormat="1" applyBorder="1"/>
    <x:xf numFmtId="0" fontId="1" fillId="3" borderId="0" xfId="0" applyFont="1" applyFill="1" applyBorder="1" applyAlignment="1">
      <x:alignment horizontal="center" vertical="center"/>
    </x:xf>
    <x:xf numFmtId="0" fontId="2" fillId="3" borderId="0" xfId="0" applyFont="1" applyFill="1" applyBorder="1" applyAlignment="1">
      <x:alignment vertical="center"/>
    </x:xf>
    <x:xf numFmtId="0" fontId="2" fillId="3" borderId="0" xfId="0" applyFont="1" applyFill="1" applyBorder="1" applyAlignment="1">
      <x:alignment horizontal="center" vertical="center"/>
    </x:xf>
    <x:xf numFmtId="0" fontId="2" fillId="3" borderId="0" xfId="0" applyFont="1" applyFill="1" applyBorder="1"/>
    <x:xf numFmtId="0" fontId="3" fillId="3" borderId="0" xfId="0" applyFont="1" applyFill="1" applyBorder="1"/>
    <x:xf numFmtId="0" fontId="4" fillId="3" borderId="0" xfId="0" applyFont="1" applyFill="1" applyBorder="1"/>
    <x:xf numFmtId="0" fontId="3" fillId="3" borderId="0" xfId="0" applyFont="1" applyFill="1" applyBorder="1" applyAlignment="1">
      <x:alignment vertical="center"/>
    </x:xf>
    <x:xf numFmtId="0" fontId="3" fillId="3" borderId="0" xfId="0" applyFont="1" applyFill="1" applyBorder="1" applyAlignment="1">
      <x:alignment horizontal="center" vertical="center"/>
    </x:xf>
    <x:xf numFmtId="164" fontId="4" fillId="3" borderId="0" xfId="0" applyNumberFormat="1" applyFont="1" applyFill="1" applyBorder="1"/>
    <x:xf numFmtId="165" fontId="4" fillId="3" borderId="0" xfId="0" applyNumberFormat="1" applyFont="1" applyFill="1" applyBorder="1"/>
    <x:xf numFmtId="0" fontId="3" fillId="3" borderId="0" xfId="0" applyFont="1" applyFill="1" applyBorder="1" applyAlignment="1">
      <x:alignment horizontal="center"/>
    </x:xf>
    <x:xf numFmtId="1" fontId="4" fillId="3" borderId="0" xfId="0" applyNumberFormat="1" applyFont="1" applyFill="1" applyBorder="1"/>
    <x:xf numFmtId="0" fontId="0" fillId="0" borderId="0" xfId="0" applyBorder="1" applyAlignment="1">
      <x:alignment horizontal="left"/>
    </x:xf>
    <x:xf numFmtId="0" fontId="7" fillId="6" borderId="2" xfId="0" applyFont="1" applyFill="1" applyBorder="1" applyAlignment="1">
      <x:alignment horizontal="center" vertical="center" wrapText="1"/>
    </x:xf>
    <x:xf numFmtId="164" fontId="8" fillId="3" borderId="0" xfId="0" applyNumberFormat="1" applyFont="1" applyFill="1" applyBorder="1" applyAlignment="1">
      <x:alignment horizontal="center" vertical="center" wrapText="1"/>
    </x:xf>
    <x:xf numFmtId="20" fontId="8" fillId="3" borderId="0" xfId="0" applyNumberFormat="1" applyFont="1" applyFill="1" applyBorder="1" applyAlignment="1">
      <x:alignment horizontal="center" vertical="center" wrapText="1"/>
    </x:xf>
    <x:xf numFmtId="0" fontId="8" fillId="3" borderId="0" xfId="0" applyFont="1" applyFill="1" applyBorder="1" applyAlignment="1">
      <x:alignment horizontal="center" vertical="center" wrapText="1"/>
    </x:xf>
    <x:xf numFmtId="0" fontId="8" fillId="3" borderId="0" xfId="0" applyFont="1" applyFill="1" applyBorder="1" applyAlignment="1">
      <x:alignment vertical="center" wrapText="1"/>
    </x:xf>
    <x:xf numFmtId="1" fontId="8" fillId="3" borderId="0" xfId="0" applyNumberFormat="1" applyFont="1" applyFill="1" applyBorder="1" applyAlignment="1">
      <x:alignment horizontal="center" vertical="center" wrapText="1"/>
    </x:xf>
    <x:xf numFmtId="1" fontId="8" fillId="3" borderId="0" xfId="0" applyNumberFormat="1" applyFont="1" applyFill="1" applyBorder="1" applyAlignment="1">
      <x:alignment vertical="center" wrapText="1"/>
    </x:xf>
    <x:xf numFmtId="164" fontId="8" fillId="0" borderId="3" xfId="0" applyNumberFormat="1" applyFont="1" applyBorder="1" applyAlignment="1">
      <x:alignment horizontal="center" vertical="center" wrapText="1"/>
    </x:xf>
    <x:xf numFmtId="20" fontId="8" fillId="0" borderId="3" xfId="0" applyNumberFormat="1" applyFont="1" applyBorder="1" applyAlignment="1">
      <x:alignment horizontal="center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3" xfId="0" applyFont="1" applyBorder="1" applyAlignment="1">
      <x:alignment vertical="center" wrapText="1"/>
    </x:xf>
    <x:xf numFmtId="1" fontId="8" fillId="0" borderId="3" xfId="0" applyNumberFormat="1" applyFont="1" applyBorder="1" applyAlignment="1">
      <x:alignment horizontal="center" vertical="center" wrapText="1"/>
    </x:xf>
    <x:xf numFmtId="0" fontId="11" fillId="4" borderId="0" xfId="0" applyFont="1" applyFill="1" applyBorder="1" applyAlignment="1">
      <x:alignment horizontal="center" vertical="center"/>
    </x:xf>
    <x:xf numFmtId="0" fontId="10" fillId="5" borderId="0" xfId="0" applyFont="1" applyFill="1" applyBorder="1" applyAlignment="1">
      <x:alignment vertical="center"/>
    </x:xf>
    <x:xf numFmtId="0" fontId="10" fillId="5" borderId="0" xfId="0" applyFont="1" applyFill="1" applyBorder="1" applyAlignment="1">
      <x:alignment horizontal="left" vertical="center"/>
    </x:xf>
    <x:xf numFmtId="0" fontId="7" fillId="6" borderId="0" xfId="0" applyFont="1" applyFill="1" applyBorder="1" applyAlignment="1">
      <x:alignment horizontal="center" vertical="center"/>
    </x:xf>
    <x:xf numFmtId="0" fontId="8" fillId="7" borderId="4" xfId="0" applyFont="1" applyFill="1" applyBorder="1" applyAlignment="1">
      <x:alignment vertical="center" wrapText="1"/>
    </x:xf>
    <x:xf numFmtId="0" fontId="8" fillId="8" borderId="4" xfId="0" applyFont="1" applyFill="1" applyBorder="1" applyAlignment="1">
      <x:alignment vertical="center" wrapText="1"/>
    </x:xf>
    <x:xf numFmtId="0" fontId="5" fillId="4" borderId="1" xfId="0" applyFont="1" applyFill="1" applyAlignment="1">
      <x:alignment horizontal="center" vertical="center"/>
    </x:xf>
    <x:xf numFmtId="0" fontId="0" fillId="0" borderId="0" xfId="0" applyBorder="1"/>
    <x:xf numFmtId="0" fontId="0" fillId="0" borderId="0" xfId="0" applyBorder="1" applyAlignment="1">
      <x:alignment horizontal="center"/>
    </x:xf>
    <x:xf numFmtId="0" fontId="0" fillId="0" borderId="0" xfId="0" applyBorder="1" applyAlignment="1">
      <x:alignment horizontal="left"/>
    </x:xf>
    <x:xf numFmtId="0" fontId="6" fillId="5" borderId="1" xfId="0" applyFont="1" applyFill="1" applyAlignment="1">
      <x:alignment horizontal="left" vertical="center"/>
    </x:xf>
    <x:xf numFmtId="1" fontId="8" fillId="12" borderId="9" xfId="0" applyNumberFormat="1" applyFont="1" applyFill="1" applyBorder="1" applyAlignment="1">
      <x:alignment horizontal="center" vertical="center"/>
    </x:xf>
    <x:xf numFmtId="0" fontId="0" fillId="0" borderId="12" xfId="0" applyBorder="1"/>
    <x:xf numFmtId="0" fontId="8" fillId="3" borderId="9" xfId="0" applyFont="1" applyFill="1" applyBorder="1" applyAlignment="1">
      <x:alignment vertical="center" wrapText="1"/>
    </x:xf>
    <x:xf numFmtId="0" fontId="0" fillId="0" borderId="13" xfId="0" applyBorder="1"/>
    <x:xf numFmtId="1" fontId="14" fillId="7" borderId="8" xfId="0" applyNumberFormat="1" applyFont="1" applyFill="1" applyBorder="1" applyAlignment="1">
      <x:alignment horizontal="center" vertical="center"/>
    </x:xf>
    <x:xf numFmtId="0" fontId="0" fillId="0" borderId="1" xfId="0"/>
    <x:xf numFmtId="0" fontId="0" fillId="0" borderId="15" xfId="0" applyBorder="1"/>
    <x:xf numFmtId="0" fontId="0" fillId="0" borderId="14" xfId="0" applyBorder="1"/>
    <x:xf numFmtId="0" fontId="0" fillId="0" borderId="16" xfId="0" applyBorder="1"/>
    <x:xf numFmtId="0" fontId="0" fillId="0" borderId="17" xfId="0" applyBorder="1"/>
    <x:xf numFmtId="0" fontId="0" fillId="0" borderId="18" xfId="0" applyBorder="1"/>
    <x:xf numFmtId="0" fontId="10" fillId="5" borderId="1" xfId="0" applyFont="1" applyFill="1" applyAlignment="1">
      <x:alignment horizontal="center" vertical="center"/>
    </x:xf>
    <x:xf numFmtId="0" fontId="12" fillId="9" borderId="5" xfId="0" applyFont="1" applyFill="1" applyBorder="1" applyAlignment="1">
      <x:alignment horizontal="center" vertical="center"/>
    </x:xf>
    <x:xf numFmtId="0" fontId="0" fillId="0" borderId="19" xfId="0" applyBorder="1"/>
    <x:xf numFmtId="0" fontId="0" fillId="0" borderId="20" xfId="0" applyBorder="1"/>
    <x:xf numFmtId="1" fontId="3" fillId="3" borderId="1" xfId="0" applyNumberFormat="1" applyFont="1" applyFill="1" applyAlignment="1">
      <x:alignment horizontal="center"/>
    </x:xf>
    <x:xf numFmtId="0" fontId="7" fillId="11" borderId="1" xfId="0" applyFont="1" applyFill="1" applyAlignment="1">
      <x:alignment horizontal="center" vertical="center"/>
    </x:xf>
    <x:xf numFmtId="0" fontId="12" fillId="9" borderId="9" xfId="0" applyFont="1" applyFill="1" applyBorder="1" applyAlignment="1">
      <x:alignment horizontal="center" vertical="center"/>
    </x:xf>
    <x:xf numFmtId="0" fontId="12" fillId="10" borderId="7" xfId="0" applyFont="1" applyFill="1" applyBorder="1" applyAlignment="1">
      <x:alignment horizontal="center" vertical="center"/>
    </x:xf>
    <x:xf numFmtId="0" fontId="0" fillId="0" borderId="10" xfId="0" applyBorder="1"/>
    <x:xf numFmtId="0" fontId="0" fillId="0" borderId="11" xfId="0" applyBorder="1"/>
    <x:xf numFmtId="1" fontId="13" fillId="7" borderId="6" xfId="0" applyNumberFormat="1" applyFont="1" applyFill="1" applyBorder="1" applyAlignment="1">
      <x:alignment horizontal="center" vertical="center"/>
    </x:xf>
    <x:xf numFmtId="0" fontId="0" fillId="0" borderId="22" xfId="0" applyBorder="1"/>
    <x:xf numFmtId="0" fontId="0" fillId="0" borderId="21" xfId="0" applyBorder="1"/>
    <x:xf numFmtId="0" fontId="0" fillId="0" borderId="23" xfId="0" applyBorder="1"/>
    <x:xf numFmtId="0" fontId="0" fillId="0" borderId="24" xfId="0" applyBorder="1"/>
    <x:xf numFmtId="0" fontId="0" fillId="0" borderId="25" xfId="0" applyBorder="1"/>
    <x:xf numFmtId="0" fontId="3" fillId="3" borderId="1" xfId="0" applyFont="1" applyFill="1"/>
    <x:xf numFmtId="164" fontId="12" fillId="5" borderId="1" xfId="0" applyNumberFormat="1" applyFont="1" applyFill="1" applyAlignment="1">
      <x:alignment horizontal="center" vertical="center"/>
    </x:xf>
    <x:xf numFmtId="0" fontId="10" fillId="5" borderId="1" xfId="0" applyFont="1" applyFill="1" applyAlignment="1">
      <x:alignment vertical="center"/>
    </x:xf>
    <x:xf numFmtId="0" fontId="11" fillId="4" borderId="1" xfId="0" applyFont="1" applyFill="1" applyAlignment="1">
      <x:alignment horizontal="center" vertical="center"/>
    </x:xf>
    <x:xf numFmtId="0" fontId="9" fillId="4" borderId="1" xfId="0" applyFont="1" applyFill="1" applyAlignment="1">
      <x:alignment horizontal="left" vertical="center"/>
    </x:xf>
    <x:xf numFmtId="0" fontId="10" fillId="5" borderId="1" xfId="0" applyFont="1" applyFill="1" applyAlignment="1">
      <x:alignment horizontal="left" vertical="center"/>
    </x:xf>
    <x:xf numFmtId="164" fontId="8" fillId="3" borderId="3" xfId="0" applyNumberFormat="1" applyFont="1" applyFill="1" applyBorder="1" applyAlignment="1">
      <x:alignment horizontal="center" vertical="center" wrapText="1"/>
    </x:xf>
    <x:xf numFmtId="20" fontId="8" fillId="3" borderId="3" xfId="0" applyNumberFormat="1" applyFont="1" applyFill="1" applyBorder="1" applyAlignment="1">
      <x:alignment horizontal="center" vertical="center" wrapText="1"/>
    </x:xf>
    <x:xf numFmtId="0" fontId="8" fillId="3" borderId="3" xfId="0" applyFont="1" applyFill="1" applyBorder="1" applyAlignment="1">
      <x:alignment horizontal="center" vertical="center" wrapText="1"/>
    </x:xf>
    <x:xf numFmtId="0" fontId="8" fillId="3" borderId="3" xfId="0" applyFont="1" applyFill="1" applyBorder="1" applyAlignment="1">
      <x:alignment vertical="center" wrapText="1"/>
    </x:xf>
    <x:xf numFmtId="1" fontId="8" fillId="3" borderId="3" xfId="0" applyNumberFormat="1" applyFont="1" applyFill="1" applyBorder="1" applyAlignment="1">
      <x:alignment horizontal="center" vertical="center" wrapText="1"/>
    </x:xf>
    <x:xf numFmtId="1" fontId="8" fillId="3" borderId="3" xfId="0" applyNumberFormat="1" applyFont="1" applyFill="1" applyBorder="1" applyAlignment="1">
      <x:alignment vertical="center" wrapText="1"/>
    </x:xf>
    <x:xf numFmtId="0" fontId="8" fillId="3" borderId="3" xfId="0" applyFont="1" applyFill="1" applyBorder="1" applyAlignment="1">
      <x:alignment horizontal="left" vertical="center" wrapText="1"/>
    </x:xf>
    <x:xf numFmtId="164" fontId="8" fillId="2" borderId="0" xfId="0" applyNumberFormat="1" applyFont="1" applyFill="1" applyBorder="1" applyAlignment="1">
      <x:alignment horizontal="center" vertical="center" wrapText="1"/>
    </x:xf>
    <x:xf numFmtId="164" fontId="8" fillId="0" borderId="0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/>
    <x:xf numFmtId="164" fontId="0" fillId="0" borderId="0" xfId="0" applyNumberFormat="1" applyFont="1" applyFill="1" applyBorder="1" applyAlignment="1">
      <x:alignment horizontal="center"/>
    </x:xf>
    <x:xf numFmtId="200" fontId="8" fillId="2" borderId="0" xfId="0" applyNumberFormat="1" applyFont="1" applyFill="1" applyBorder="1" applyAlignment="1">
      <x:alignment horizontal="center" vertical="center" wrapText="1"/>
    </x:xf>
    <x:xf numFmtId="200" fontId="8" fillId="0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164" fontId="4" fillId="2" borderId="0" xfId="0" applyNumberFormat="1" applyFont="1" applyFill="1" applyBorder="1"/>
    <x:xf numFmtId="201" fontId="13" fillId="2" borderId="6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color rgb="FF7F6000"/>
      </x:font>
      <x:fill>
        <x:patternFill>
          <x:bgColor rgb="FFFFF2CC"/>
        </x:patternFill>
      </x:fill>
    </x:dxf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2ca72555ae49ad" /><Relationship Type="http://schemas.openxmlformats.org/officeDocument/2006/relationships/theme" Target="/xl/theme/theme1.xml" Id="Re918cc690b7240b8" /><Relationship Type="http://schemas.openxmlformats.org/officeDocument/2006/relationships/sharedStrings" Target="/xl/sharedStrings.xml" Id="Rd294e4772c884dbb" /><Relationship Type="http://schemas.openxmlformats.org/officeDocument/2006/relationships/worksheet" Target="/xl/worksheets/sheet1.xml" Id="R75fea396a59044ec" /><Relationship Type="http://schemas.openxmlformats.org/officeDocument/2006/relationships/worksheet" Target="/xl/worksheets/sheet2.xml" Id="Rf33fdf66686f4071" /><Relationship Type="http://schemas.openxmlformats.org/officeDocument/2006/relationships/worksheet" Target="/xl/worksheets/sheet3.xml" Id="Rb77e31e151d3493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942e37d016c499e" /><Relationship Type="http://schemas.openxmlformats.org/officeDocument/2006/relationships/chart" Target="/xl/drawings/charts/chart2.xml" Id="Rdc5cbd99b07d4990" /></Relationships>
</file>

<file path=xl/drawings/charts/chart1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Vuelos - últimos 7 días</a:t>
            </a:r>
          </a:p>
        </c:rich>
      </c:tx>
      <c:overlay val="1"/>
    </c:title>
    <c:autoTitleDeleted val="0"/>
    <c:plotArea>
      <c:barChart>
        <c:barDir val="col"/>
        <c:grouping val="clustered"/>
        <c:varyColors val="1"/>
        <c:ser>
          <c:idx val="0"/>
          <c:order val="0"/>
          <c:tx>
            <c:strRef>
              <c:f>Resumen!$V$2</c:f>
              <c:strCache>
                <c:ptCount val="1"/>
                <c:pt idx="0">
                  <c:v>Vuelos</c:v>
                </c:pt>
              </c:strCache>
            </c:strRef>
          </c:tx>
          <c:spPr>
            <a:solidFill xmlns:a="http://schemas.openxmlformats.org/drawingml/2006/main">
              <a:srgbClr val="2F75B5"/>
            </a:solidFill>
            <a:ln xmlns:a="http://schemas.openxmlformats.org/drawingml/2006/main">
              <a:solidFill>
                <a:srgbClr val="2F75B5"/>
              </a:solidFill>
              <a:prstDash val="solid"/>
            </a:ln>
          </c:spPr>
          <c:invertIfNegative val="1"/>
          <c:cat>
            <c:strLit>
              <c:ptCount val="0"/>
            </c:strLit>
          </c:cat>
          <c:val>
            <c:numRef>
              <c:f>Resumen!$V$3:$V$9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/>
        <c:majorTickMark val="none"/>
        <c:minorTickMark val="none"/>
        <c:tickLblPos val="nextTo"/>
        <c:crossAx val="100"/>
        <c:crosses val="autoZero"/>
        <c:lblAlgn val="ctr"/>
        <c:noMultiLvlLbl val="1"/>
        <c:lblOffset val="100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buNone/>
                </a:pPr>
                <a:r>
                  <a:t>Vuelos</a:t>
                </a:r>
              </a:p>
            </c:rich>
          </c:tx>
          <c:overlay val="1"/>
        </c:title>
        <c:numFmt formatCode="General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</c:chart>
</c:chartSpace>
</file>

<file path=xl/drawings/charts/chart2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Vuelos por turno - mes actual</a:t>
            </a:r>
          </a:p>
        </c:rich>
      </c:tx>
      <c:overlay val="1"/>
    </c:title>
    <c:autoTitleDeleted val="0"/>
    <c:plotArea>
      <c:barChart>
        <c:barDir val="col"/>
        <c:grouping val="clustered"/>
        <c:varyColors val="1"/>
        <c:ser>
          <c:idx val="0"/>
          <c:order val="0"/>
          <c:tx>
            <c:strRef>
              <c:f>Resumen!$Y$2</c:f>
              <c:strCache>
                <c:ptCount val="1"/>
                <c:pt idx="0">
                  <c:v>Vuelos mes</c:v>
                </c:pt>
              </c:strCache>
            </c:strRef>
          </c:tx>
          <c:spPr>
            <a:solidFill xmlns:a="http://schemas.openxmlformats.org/drawingml/2006/main">
              <a:srgbClr val="2E748C"/>
            </a:solidFill>
            <a:ln xmlns:a="http://schemas.openxmlformats.org/drawingml/2006/main">
              <a:solidFill>
                <a:srgbClr val="2E748C"/>
              </a:solidFill>
              <a:prstDash val="solid"/>
            </a:ln>
          </c:spPr>
          <c:invertIfNegative val="1"/>
          <c:cat>
            <c:strLit>
              <c:ptCount val="0"/>
            </c:strLit>
          </c:cat>
          <c:val>
            <c:numRef>
              <c:f>Resumen!$Y$3:$Y$8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/>
        <c:majorTickMark val="none"/>
        <c:minorTickMark val="none"/>
        <c:tickLblPos val="nextTo"/>
        <c:crossAx val="100"/>
        <c:crosses val="autoZero"/>
        <c:lblAlgn val="ctr"/>
        <c:noMultiLvlLbl val="1"/>
        <c:lblOffset val="100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buNone/>
                </a:pPr>
                <a:r>
                  <a:t>Vuelos</a:t>
                </a:r>
              </a:p>
            </c:rich>
          </c:tx>
          <c:overlay val="1"/>
        </c:title>
        <c:numFmt formatCode="General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</c:chart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13</xdr:row>
      <xdr:rowOff>0</xdr:rowOff>
    </xdr:from>
    <xdr:ext cx="4752000" cy="2592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42e37d016c499e"/>
        </a:graphicData>
      </a:graphic>
    </xdr:graphicFrame>
    <xdr:clientData/>
  </xdr:oneCellAnchor>
  <xdr:oneCellAnchor>
    <xdr:from>
      <xdr:col>6</xdr:col>
      <xdr:colOff>0</xdr:colOff>
      <xdr:row>13</xdr:row>
      <xdr:rowOff>0</xdr:rowOff>
    </xdr:from>
    <xdr:ext cx="4752000" cy="2592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5cbd99b07d4990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RegistroVuelos" displayName="RegistroVuelos" ref="A3:J7" totalsRowShown="0">
  <x:autoFilter ref="A3:J7"/>
  <x:tableColumns count="10">
    <x:tableColumn id="1" name="Fecha"/>
    <x:tableColumn id="2" name="Hora"/>
    <x:tableColumn id="3" name="Turno"/>
    <x:tableColumn id="4" name="Nombre del Reportante"/>
    <x:tableColumn id="5" name="Ubicación"/>
    <x:tableColumn id="6" name="Nro. Vuelos realizados"/>
    <x:tableColumn id="7" name="Motivo de no vuelo"/>
    <x:tableColumn id="8" name="¿Hubo novedad?"/>
    <x:tableColumn id="9" name="Descripción" dataDxfId="1"/>
    <x:tableColumn id="10" name="Observacion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Turnos" displayName="tblTurnos" ref="A3:A5" totalsRowShown="0">
  <x:tableColumns count="1">
    <x:tableColumn id="1" name="Turn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Novedad" displayName="tblNovedad" ref="D3:D6" totalsRowShown="0">
  <x:tableColumns count="1">
    <x:tableColumn id="1" name="¿Hubo novedad?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Ubicacion" displayName="tblUbicacion" ref="G3:G4" totalsRowShown="0">
  <x:tableColumns count="1">
    <x:tableColumn id="1" name="Ubicació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MotivoNoVuelo" displayName="tblMotivoNoVuelo" ref="J3:J8" totalsRowShown="0">
  <x:tableColumns count="1">
    <x:tableColumn id="1" name="Motivo de no vuel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39d8e610604df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15a90e9f56e47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6ca3617c3a4df1" /><Relationship Type="http://schemas.openxmlformats.org/officeDocument/2006/relationships/table" Target="/xl/tables/table3.xml" Id="R2f988011d1a84906" /><Relationship Type="http://schemas.openxmlformats.org/officeDocument/2006/relationships/table" Target="/xl/tables/table4.xml" Id="R80094dabfb3044c3" /><Relationship Type="http://schemas.openxmlformats.org/officeDocument/2006/relationships/table" Target="/xl/tables/table5.xml" Id="R30d6e55cb236436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10" defaultColWidth="8.796875" defaultRowHeight="13.800000190734863"/>
  <x:cols>
    <x:col min="1" max="1" width="13" style="4" customWidth="1"/>
    <x:col min="2" max="2" width="10" customWidth="1"/>
    <x:col min="3" max="3" width="11" customWidth="1"/>
    <x:col min="4" max="4" width="24" style="3" customWidth="1"/>
    <x:col min="5" max="5" width="20" customWidth="1"/>
    <x:col min="6" max="6" width="16" customWidth="1"/>
    <x:col min="7" max="7" width="22" customWidth="1"/>
    <x:col min="8" max="8" width="16" style="3" customWidth="1"/>
    <x:col min="9" max="9" width="30" style="22" customWidth="1"/>
    <x:col min="10" max="10" width="28" customWidth="1"/>
  </x:cols>
  <x:sheetData>
    <x:row r="1" ht="34.04999923706055" customHeight="1">
      <x:c r="A1" s="41" t="s">
        <x:v>0</x:v>
      </x:c>
      <x:c r="B1" s="42"/>
      <x:c r="C1" s="42"/>
      <x:c r="D1" s="43"/>
      <x:c r="E1" s="42"/>
      <x:c r="F1" s="42"/>
      <x:c r="G1" s="42"/>
      <x:c r="H1" s="43"/>
      <x:c r="I1" s="44"/>
      <x:c r="J1" s="42"/>
    </x:row>
    <x:row r="2" ht="24" customHeight="1">
      <x:c r="A2" s="45" t="str">
        <x:v>Práctica de Chilete DevPath con datos ficticios. Completa todos los campos; escribe "No aplica" cuando corresponda.</x:v>
      </x:c>
      <x:c r="B2" s="42"/>
      <x:c r="C2" s="42"/>
      <x:c r="D2" s="43"/>
      <x:c r="E2" s="42"/>
      <x:c r="F2" s="42"/>
      <x:c r="G2" s="42"/>
      <x:c r="H2" s="43"/>
      <x:c r="I2" s="44"/>
      <x:c r="J2" s="42"/>
    </x:row>
    <x:row r="3" ht="36" customHeight="1">
      <x:c r="A3" s="23" t="s">
        <x:v>1</x:v>
      </x:c>
      <x:c r="B3" s="23" t="s">
        <x:v>2</x:v>
      </x:c>
      <x:c r="C3" s="23" t="s">
        <x:v>3</x:v>
      </x:c>
      <x:c r="D3" s="23" t="s">
        <x:v>4</x:v>
      </x:c>
      <x:c r="E3" s="23" t="s">
        <x:v>5</x:v>
      </x:c>
      <x:c r="F3" s="23" t="s">
        <x:v>6</x:v>
      </x:c>
      <x:c r="G3" s="23" t="s">
        <x:v>7</x:v>
      </x:c>
      <x:c r="H3" s="23" t="s">
        <x:v>8</x:v>
      </x:c>
      <x:c r="I3" s="23" t="s">
        <x:v>9</x:v>
      </x:c>
      <x:c r="J3" s="23" t="s">
        <x:v>10</x:v>
      </x:c>
    </x:row>
    <x:row r="4" ht="24" customHeight="1">
      <x:c r="A4" s="86" t="d">
        <x:v>2026-09-22T00:00:00.000Z</x:v>
      </x:c>
      <x:c r="B4" s="90" t="n">
        <x:v>0.034722222222222224</x:v>
      </x:c>
      <x:c r="C4" s="26" t="str">
        <x:v>Noche</x:v>
      </x:c>
      <x:c r="D4" s="27" t="str">
        <x:v>Elena Torres</x:v>
      </x:c>
      <x:c r="E4" s="27" t="str">
        <x:v>Base Norte</x:v>
      </x:c>
      <x:c r="F4" s="28" t="n">
        <x:v>2</x:v>
      </x:c>
      <x:c r="G4" s="29" t="str">
        <x:v>No aplica</x:v>
      </x:c>
      <x:c r="H4" s="26" t="str">
        <x:v>No</x:v>
      </x:c>
      <x:c r="I4" s="27" t="str">
        <x:v>No aplica</x:v>
      </x:c>
      <x:c r="J4" s="27" t="str">
        <x:v>Sin novedad</x:v>
      </x:c>
    </x:row>
    <x:row r="5" ht="24" customHeight="1">
      <x:c r="A5" s="86" t="d">
        <x:v>2026-09-22T00:00:00.000Z</x:v>
      </x:c>
      <x:c r="B5" s="90" t="n">
        <x:v>0.03611111111111111</x:v>
      </x:c>
      <x:c r="C5" s="26" t="str">
        <x:v>Noche</x:v>
      </x:c>
      <x:c r="D5" s="27" t="str">
        <x:v>Marco Díaz</x:v>
      </x:c>
      <x:c r="E5" s="27" t="str">
        <x:v>Base Norte</x:v>
      </x:c>
      <x:c r="F5" s="28" t="n">
        <x:v>0</x:v>
      </x:c>
      <x:c r="G5" s="29" t="str">
        <x:v>Clima adverso</x:v>
      </x:c>
      <x:c r="H5" s="26" t="str">
        <x:v>Sí</x:v>
      </x:c>
      <x:c r="I5" s="27" t="str">
        <x:v>Neblina intensa</x:v>
      </x:c>
      <x:c r="J5" s="27" t="str">
        <x:v>Operación suspendida</x:v>
      </x:c>
    </x:row>
    <x:row r="6">
      <x:c r="A6" s="86" t="d">
        <x:v>2026-09-22T00:00:00.000Z</x:v>
      </x:c>
      <x:c r="B6" s="90" t="n">
        <x:v>0.14097222222222222</x:v>
      </x:c>
      <x:c r="C6" s="81" t="str">
        <x:v>Día</x:v>
      </x:c>
      <x:c r="D6" s="82" t="str">
        <x:v>Lucía Rojas</x:v>
      </x:c>
      <x:c r="E6" s="82" t="str">
        <x:v>Base Norte</x:v>
      </x:c>
      <x:c r="F6" s="83" t="n">
        <x:v>3</x:v>
      </x:c>
      <x:c r="G6" s="84" t="str">
        <x:v>No aplica</x:v>
      </x:c>
      <x:c r="H6" s="81" t="str">
        <x:v>No</x:v>
      </x:c>
      <x:c r="I6" s="85" t="str">
        <x:v>No aplica</x:v>
      </x:c>
      <x:c r="J6" s="82" t="str">
        <x:v>Sin novedad</x:v>
      </x:c>
    </x:row>
    <x:row r="7">
      <x:c r="A7" s="86" t="d">
        <x:v>2026-09-23T00:00:00.000Z</x:v>
      </x:c>
      <x:c r="B7" s="90" t="n">
        <x:v>0.14305555555555555</x:v>
      </x:c>
      <x:c r="C7" s="81" t="str">
        <x:v>Noche</x:v>
      </x:c>
      <x:c r="D7" s="82" t="str">
        <x:v>Diego Salas</x:v>
      </x:c>
      <x:c r="E7" s="82" t="str">
        <x:v>Base Norte</x:v>
      </x:c>
      <x:c r="F7" s="83" t="n">
        <x:v>1</x:v>
      </x:c>
      <x:c r="G7" s="84" t="str">
        <x:v>No aplica</x:v>
      </x:c>
      <x:c r="H7" s="81" t="str">
        <x:v>Sí</x:v>
      </x:c>
      <x:c r="I7" s="85" t="str">
        <x:v>Retraso operativo</x:v>
      </x:c>
      <x:c r="J7" s="82" t="str">
        <x:v>Vuelo reprogramado</x:v>
      </x:c>
    </x:row>
    <x:row r="8">
      <x:c r="A8" s="87"/>
      <x:c r="B8" s="91"/>
      <x:c r="C8" s="32"/>
      <x:c r="D8" s="33"/>
      <x:c r="E8" s="33"/>
      <x:c r="F8" s="34"/>
      <x:c r="G8" s="33"/>
      <x:c r="H8" s="32"/>
      <x:c r="I8" s="33"/>
      <x:c r="J8" s="33"/>
    </x:row>
    <x:row r="9">
      <x:c r="A9" s="87"/>
      <x:c r="B9" s="91"/>
      <x:c r="C9" s="32"/>
      <x:c r="D9" s="33"/>
      <x:c r="E9" s="33"/>
      <x:c r="F9" s="34"/>
      <x:c r="G9" s="33"/>
      <x:c r="H9" s="32"/>
      <x:c r="I9" s="33"/>
      <x:c r="J9" s="33"/>
    </x:row>
    <x:row r="10">
      <x:c r="A10" s="87"/>
      <x:c r="B10" s="91"/>
      <x:c r="C10" s="32"/>
      <x:c r="D10" s="33"/>
      <x:c r="E10" s="33"/>
      <x:c r="F10" s="34"/>
      <x:c r="G10" s="33"/>
      <x:c r="H10" s="32"/>
      <x:c r="I10" s="33"/>
      <x:c r="J10" s="33"/>
    </x:row>
    <x:row r="11">
      <x:c r="A11" s="87"/>
      <x:c r="B11" s="91"/>
      <x:c r="C11" s="32"/>
      <x:c r="D11" s="33"/>
      <x:c r="E11" s="33"/>
      <x:c r="F11" s="34"/>
      <x:c r="G11" s="33"/>
      <x:c r="H11" s="32"/>
      <x:c r="I11" s="33"/>
      <x:c r="J11" s="33"/>
    </x:row>
    <x:row r="12">
      <x:c r="A12" s="87"/>
      <x:c r="B12" s="91"/>
      <x:c r="C12" s="32"/>
      <x:c r="D12" s="33"/>
      <x:c r="E12" s="33"/>
      <x:c r="F12" s="34"/>
      <x:c r="G12" s="33"/>
      <x:c r="H12" s="32"/>
      <x:c r="I12" s="33"/>
      <x:c r="J12" s="33"/>
    </x:row>
    <x:row r="13">
      <x:c r="A13" s="87"/>
      <x:c r="B13" s="91"/>
      <x:c r="C13" s="32"/>
      <x:c r="D13" s="33"/>
      <x:c r="E13" s="33"/>
      <x:c r="F13" s="34"/>
      <x:c r="G13" s="33"/>
      <x:c r="H13" s="32"/>
      <x:c r="I13" s="33"/>
      <x:c r="J13" s="33"/>
    </x:row>
    <x:row r="14">
      <x:c r="A14" s="87"/>
      <x:c r="B14" s="91"/>
      <x:c r="C14" s="32"/>
      <x:c r="D14" s="33"/>
      <x:c r="E14" s="33"/>
      <x:c r="F14" s="34"/>
      <x:c r="G14" s="33"/>
      <x:c r="H14" s="32"/>
      <x:c r="I14" s="33"/>
      <x:c r="J14" s="33"/>
    </x:row>
    <x:row r="15">
      <x:c r="A15" s="87"/>
      <x:c r="B15" s="91"/>
      <x:c r="C15" s="32"/>
      <x:c r="D15" s="33"/>
      <x:c r="E15" s="33"/>
      <x:c r="F15" s="34"/>
      <x:c r="G15" s="33"/>
      <x:c r="H15" s="32"/>
      <x:c r="I15" s="33"/>
      <x:c r="J15" s="33"/>
    </x:row>
    <x:row r="16">
      <x:c r="A16" s="87"/>
      <x:c r="B16" s="91"/>
      <x:c r="C16" s="32"/>
      <x:c r="D16" s="33"/>
      <x:c r="E16" s="33"/>
      <x:c r="F16" s="34"/>
      <x:c r="G16" s="33"/>
      <x:c r="H16" s="32"/>
      <x:c r="I16" s="33"/>
      <x:c r="J16" s="33"/>
    </x:row>
    <x:row r="17">
      <x:c r="A17" s="87"/>
      <x:c r="B17" s="91"/>
      <x:c r="C17" s="32"/>
      <x:c r="D17" s="33"/>
      <x:c r="E17" s="33"/>
      <x:c r="F17" s="34"/>
      <x:c r="G17" s="33"/>
      <x:c r="H17" s="32"/>
      <x:c r="I17" s="33"/>
      <x:c r="J17" s="33"/>
    </x:row>
    <x:row r="18">
      <x:c r="A18" s="87"/>
      <x:c r="B18" s="91"/>
      <x:c r="C18" s="32"/>
      <x:c r="D18" s="33"/>
      <x:c r="E18" s="33"/>
      <x:c r="F18" s="34"/>
      <x:c r="G18" s="33"/>
      <x:c r="H18" s="32"/>
      <x:c r="I18" s="33"/>
      <x:c r="J18" s="33"/>
    </x:row>
    <x:row r="19">
      <x:c r="A19" s="87"/>
      <x:c r="B19" s="91"/>
      <x:c r="C19" s="32"/>
      <x:c r="D19" s="33"/>
      <x:c r="E19" s="33"/>
      <x:c r="F19" s="34"/>
      <x:c r="G19" s="33"/>
      <x:c r="H19" s="32"/>
      <x:c r="I19" s="33"/>
      <x:c r="J19" s="33"/>
    </x:row>
    <x:row r="20">
      <x:c r="A20" s="87"/>
      <x:c r="B20" s="91"/>
      <x:c r="C20" s="32"/>
      <x:c r="D20" s="33"/>
      <x:c r="E20" s="33"/>
      <x:c r="F20" s="34"/>
      <x:c r="G20" s="33"/>
      <x:c r="H20" s="32"/>
      <x:c r="I20" s="33"/>
      <x:c r="J20" s="33"/>
    </x:row>
    <x:row r="21">
      <x:c r="A21" s="87"/>
      <x:c r="B21" s="91"/>
      <x:c r="C21" s="32"/>
      <x:c r="D21" s="33"/>
      <x:c r="E21" s="33"/>
      <x:c r="F21" s="34"/>
      <x:c r="G21" s="33"/>
      <x:c r="H21" s="32"/>
      <x:c r="I21" s="33"/>
      <x:c r="J21" s="33"/>
    </x:row>
    <x:row r="22">
      <x:c r="A22" s="87"/>
      <x:c r="B22" s="91"/>
      <x:c r="C22" s="32"/>
      <x:c r="D22" s="33"/>
      <x:c r="E22" s="33"/>
      <x:c r="F22" s="34"/>
      <x:c r="G22" s="33"/>
      <x:c r="H22" s="32"/>
      <x:c r="I22" s="33"/>
      <x:c r="J22" s="33"/>
    </x:row>
    <x:row r="23">
      <x:c r="A23" s="87"/>
      <x:c r="B23" s="91"/>
      <x:c r="C23" s="32"/>
      <x:c r="D23" s="33"/>
      <x:c r="E23" s="33"/>
      <x:c r="F23" s="34"/>
      <x:c r="G23" s="33"/>
      <x:c r="H23" s="32"/>
      <x:c r="I23" s="33"/>
      <x:c r="J23" s="33"/>
    </x:row>
    <x:row r="24">
      <x:c r="A24" s="87"/>
      <x:c r="B24" s="91"/>
      <x:c r="C24" s="32"/>
      <x:c r="D24" s="33"/>
      <x:c r="E24" s="33"/>
      <x:c r="F24" s="34"/>
      <x:c r="G24" s="33"/>
      <x:c r="H24" s="32"/>
      <x:c r="I24" s="33"/>
      <x:c r="J24" s="33"/>
    </x:row>
    <x:row r="25">
      <x:c r="A25" s="87"/>
      <x:c r="B25" s="91"/>
      <x:c r="C25" s="32"/>
      <x:c r="D25" s="33"/>
      <x:c r="E25" s="33"/>
      <x:c r="F25" s="34"/>
      <x:c r="G25" s="33"/>
      <x:c r="H25" s="32"/>
      <x:c r="I25" s="33"/>
      <x:c r="J25" s="33"/>
    </x:row>
    <x:row r="26">
      <x:c r="A26" s="87"/>
      <x:c r="B26" s="91"/>
      <x:c r="C26" s="32"/>
      <x:c r="D26" s="33"/>
      <x:c r="E26" s="33"/>
      <x:c r="F26" s="34"/>
      <x:c r="G26" s="33"/>
      <x:c r="H26" s="32"/>
      <x:c r="I26" s="33"/>
      <x:c r="J26" s="33"/>
    </x:row>
    <x:row r="27">
      <x:c r="A27" s="87"/>
      <x:c r="B27" s="91"/>
      <x:c r="C27" s="32"/>
      <x:c r="D27" s="33"/>
      <x:c r="E27" s="33"/>
      <x:c r="F27" s="34"/>
      <x:c r="G27" s="33"/>
      <x:c r="H27" s="32"/>
      <x:c r="I27" s="33"/>
      <x:c r="J27" s="33"/>
    </x:row>
    <x:row r="28">
      <x:c r="A28" s="87"/>
      <x:c r="B28" s="91"/>
      <x:c r="C28" s="32"/>
      <x:c r="D28" s="33"/>
      <x:c r="E28" s="33"/>
      <x:c r="F28" s="34"/>
      <x:c r="G28" s="33"/>
      <x:c r="H28" s="32"/>
      <x:c r="I28" s="33"/>
      <x:c r="J28" s="33"/>
    </x:row>
    <x:row r="29">
      <x:c r="A29" s="87"/>
      <x:c r="B29" s="91"/>
      <x:c r="C29" s="32"/>
      <x:c r="D29" s="33"/>
      <x:c r="E29" s="33"/>
      <x:c r="F29" s="34"/>
      <x:c r="G29" s="33"/>
      <x:c r="H29" s="32"/>
      <x:c r="I29" s="33"/>
      <x:c r="J29" s="33"/>
    </x:row>
    <x:row r="30">
      <x:c r="A30" s="87"/>
      <x:c r="B30" s="91"/>
      <x:c r="C30" s="32"/>
      <x:c r="D30" s="33"/>
      <x:c r="E30" s="33"/>
      <x:c r="F30" s="34"/>
      <x:c r="G30" s="33"/>
      <x:c r="H30" s="32"/>
      <x:c r="I30" s="33"/>
      <x:c r="J30" s="33"/>
    </x:row>
    <x:row r="31">
      <x:c r="A31" s="87"/>
      <x:c r="B31" s="91"/>
      <x:c r="C31" s="32"/>
      <x:c r="D31" s="33"/>
      <x:c r="E31" s="33"/>
      <x:c r="F31" s="34"/>
      <x:c r="G31" s="33"/>
      <x:c r="H31" s="32"/>
      <x:c r="I31" s="33"/>
      <x:c r="J31" s="33"/>
    </x:row>
    <x:row r="32">
      <x:c r="A32" s="87"/>
      <x:c r="B32" s="91"/>
      <x:c r="C32" s="32"/>
      <x:c r="D32" s="33"/>
      <x:c r="E32" s="33"/>
      <x:c r="F32" s="34"/>
      <x:c r="G32" s="33"/>
      <x:c r="H32" s="32"/>
      <x:c r="I32" s="33"/>
      <x:c r="J32" s="33"/>
    </x:row>
    <x:row r="33">
      <x:c r="A33" s="87"/>
      <x:c r="B33" s="91"/>
      <x:c r="C33" s="32"/>
      <x:c r="D33" s="33"/>
      <x:c r="E33" s="33"/>
      <x:c r="F33" s="34"/>
      <x:c r="G33" s="33"/>
      <x:c r="H33" s="32"/>
      <x:c r="I33" s="33"/>
      <x:c r="J33" s="33"/>
    </x:row>
    <x:row r="34">
      <x:c r="A34" s="87"/>
      <x:c r="B34" s="91"/>
      <x:c r="C34" s="32"/>
      <x:c r="D34" s="33"/>
      <x:c r="E34" s="33"/>
      <x:c r="F34" s="34"/>
      <x:c r="G34" s="33"/>
      <x:c r="H34" s="32"/>
      <x:c r="I34" s="33"/>
      <x:c r="J34" s="33"/>
    </x:row>
    <x:row r="35">
      <x:c r="A35" s="87"/>
      <x:c r="B35" s="91"/>
      <x:c r="C35" s="32"/>
      <x:c r="D35" s="33"/>
      <x:c r="E35" s="33"/>
      <x:c r="F35" s="34"/>
      <x:c r="G35" s="33"/>
      <x:c r="H35" s="32"/>
      <x:c r="I35" s="33"/>
      <x:c r="J35" s="33"/>
    </x:row>
    <x:row r="36">
      <x:c r="A36" s="87"/>
      <x:c r="B36" s="91"/>
      <x:c r="C36" s="32"/>
      <x:c r="D36" s="33"/>
      <x:c r="E36" s="33"/>
      <x:c r="F36" s="34"/>
      <x:c r="G36" s="33"/>
      <x:c r="H36" s="32"/>
      <x:c r="I36" s="33"/>
      <x:c r="J36" s="33"/>
    </x:row>
    <x:row r="37">
      <x:c r="A37" s="87"/>
      <x:c r="B37" s="91"/>
      <x:c r="C37" s="32"/>
      <x:c r="D37" s="33"/>
      <x:c r="E37" s="33"/>
      <x:c r="F37" s="34"/>
      <x:c r="G37" s="33"/>
      <x:c r="H37" s="32"/>
      <x:c r="I37" s="33"/>
      <x:c r="J37" s="33"/>
    </x:row>
    <x:row r="38">
      <x:c r="A38" s="87"/>
      <x:c r="B38" s="91"/>
      <x:c r="C38" s="32"/>
      <x:c r="D38" s="33"/>
      <x:c r="E38" s="33"/>
      <x:c r="F38" s="34"/>
      <x:c r="G38" s="33"/>
      <x:c r="H38" s="32"/>
      <x:c r="I38" s="33"/>
      <x:c r="J38" s="33"/>
    </x:row>
    <x:row r="39">
      <x:c r="A39" s="87"/>
      <x:c r="B39" s="91"/>
      <x:c r="C39" s="32"/>
      <x:c r="D39" s="33"/>
      <x:c r="E39" s="33"/>
      <x:c r="F39" s="34"/>
      <x:c r="G39" s="33"/>
      <x:c r="H39" s="32"/>
      <x:c r="I39" s="33"/>
      <x:c r="J39" s="33"/>
    </x:row>
    <x:row r="40">
      <x:c r="A40" s="87"/>
      <x:c r="B40" s="91"/>
      <x:c r="C40" s="32"/>
      <x:c r="D40" s="33"/>
      <x:c r="E40" s="33"/>
      <x:c r="F40" s="34"/>
      <x:c r="G40" s="33"/>
      <x:c r="H40" s="32"/>
      <x:c r="I40" s="33"/>
      <x:c r="J40" s="33"/>
    </x:row>
    <x:row r="41">
      <x:c r="A41" s="87"/>
      <x:c r="B41" s="91"/>
      <x:c r="C41" s="32"/>
      <x:c r="D41" s="33"/>
      <x:c r="E41" s="33"/>
      <x:c r="F41" s="34"/>
      <x:c r="G41" s="33"/>
      <x:c r="H41" s="32"/>
      <x:c r="I41" s="33"/>
      <x:c r="J41" s="33"/>
    </x:row>
    <x:row r="42">
      <x:c r="A42" s="87"/>
      <x:c r="B42" s="91"/>
      <x:c r="C42" s="32"/>
      <x:c r="D42" s="33"/>
      <x:c r="E42" s="33"/>
      <x:c r="F42" s="34"/>
      <x:c r="G42" s="33"/>
      <x:c r="H42" s="32"/>
      <x:c r="I42" s="33"/>
      <x:c r="J42" s="33"/>
    </x:row>
    <x:row r="43">
      <x:c r="A43" s="87"/>
      <x:c r="B43" s="91"/>
      <x:c r="C43" s="32"/>
      <x:c r="D43" s="33"/>
      <x:c r="E43" s="33"/>
      <x:c r="F43" s="34"/>
      <x:c r="G43" s="33"/>
      <x:c r="H43" s="32"/>
      <x:c r="I43" s="33"/>
      <x:c r="J43" s="33"/>
    </x:row>
    <x:row r="44">
      <x:c r="A44" s="87"/>
      <x:c r="B44" s="91"/>
      <x:c r="C44" s="32"/>
      <x:c r="D44" s="33"/>
      <x:c r="E44" s="33"/>
      <x:c r="F44" s="34"/>
      <x:c r="G44" s="33"/>
      <x:c r="H44" s="32"/>
      <x:c r="I44" s="33"/>
      <x:c r="J44" s="33"/>
    </x:row>
    <x:row r="45">
      <x:c r="A45" s="87"/>
      <x:c r="B45" s="91"/>
      <x:c r="C45" s="32"/>
      <x:c r="D45" s="33"/>
      <x:c r="E45" s="33"/>
      <x:c r="F45" s="34"/>
      <x:c r="G45" s="33"/>
      <x:c r="H45" s="32"/>
      <x:c r="I45" s="33"/>
      <x:c r="J45" s="33"/>
    </x:row>
    <x:row r="46">
      <x:c r="A46" s="87"/>
      <x:c r="B46" s="91"/>
      <x:c r="C46" s="32"/>
      <x:c r="D46" s="33"/>
      <x:c r="E46" s="33"/>
      <x:c r="F46" s="34"/>
      <x:c r="G46" s="33"/>
      <x:c r="H46" s="32"/>
      <x:c r="I46" s="33"/>
      <x:c r="J46" s="33"/>
    </x:row>
    <x:row r="47">
      <x:c r="A47" s="87"/>
      <x:c r="B47" s="91"/>
      <x:c r="C47" s="32"/>
      <x:c r="D47" s="33"/>
      <x:c r="E47" s="33"/>
      <x:c r="F47" s="34"/>
      <x:c r="G47" s="33"/>
      <x:c r="H47" s="32"/>
      <x:c r="I47" s="33"/>
      <x:c r="J47" s="33"/>
    </x:row>
    <x:row r="48">
      <x:c r="A48" s="87"/>
      <x:c r="B48" s="91"/>
      <x:c r="C48" s="32"/>
      <x:c r="D48" s="33"/>
      <x:c r="E48" s="33"/>
      <x:c r="F48" s="34"/>
      <x:c r="G48" s="33"/>
      <x:c r="H48" s="32"/>
      <x:c r="I48" s="33"/>
      <x:c r="J48" s="33"/>
    </x:row>
    <x:row r="49">
      <x:c r="A49" s="87"/>
      <x:c r="B49" s="91"/>
      <x:c r="C49" s="32"/>
      <x:c r="D49" s="33"/>
      <x:c r="E49" s="33"/>
      <x:c r="F49" s="34"/>
      <x:c r="G49" s="33"/>
      <x:c r="H49" s="32"/>
      <x:c r="I49" s="33"/>
      <x:c r="J49" s="33"/>
    </x:row>
    <x:row r="50">
      <x:c r="A50" s="87"/>
      <x:c r="B50" s="91"/>
      <x:c r="C50" s="32"/>
      <x:c r="D50" s="33"/>
      <x:c r="E50" s="33"/>
      <x:c r="F50" s="34"/>
      <x:c r="G50" s="33"/>
      <x:c r="H50" s="32"/>
      <x:c r="I50" s="33"/>
      <x:c r="J50" s="33"/>
    </x:row>
    <x:row r="51">
      <x:c r="A51" s="87"/>
      <x:c r="B51" s="91"/>
      <x:c r="C51" s="32"/>
      <x:c r="D51" s="33"/>
      <x:c r="E51" s="33"/>
      <x:c r="F51" s="34"/>
      <x:c r="G51" s="33"/>
      <x:c r="H51" s="32"/>
      <x:c r="I51" s="33"/>
      <x:c r="J51" s="33"/>
    </x:row>
    <x:row r="52">
      <x:c r="A52" s="87"/>
      <x:c r="B52" s="91"/>
      <x:c r="C52" s="32"/>
      <x:c r="D52" s="33"/>
      <x:c r="E52" s="33"/>
      <x:c r="F52" s="34"/>
      <x:c r="G52" s="33"/>
      <x:c r="H52" s="32"/>
      <x:c r="I52" s="33"/>
      <x:c r="J52" s="33"/>
    </x:row>
    <x:row r="53">
      <x:c r="A53" s="87"/>
      <x:c r="B53" s="91"/>
      <x:c r="C53" s="32"/>
      <x:c r="D53" s="33"/>
      <x:c r="E53" s="33"/>
      <x:c r="F53" s="34"/>
      <x:c r="G53" s="33"/>
      <x:c r="H53" s="32"/>
      <x:c r="I53" s="33"/>
      <x:c r="J53" s="33"/>
    </x:row>
    <x:row r="54">
      <x:c r="A54" s="87"/>
      <x:c r="B54" s="91"/>
      <x:c r="C54" s="32"/>
      <x:c r="D54" s="33"/>
      <x:c r="E54" s="33"/>
      <x:c r="F54" s="34"/>
      <x:c r="G54" s="33"/>
      <x:c r="H54" s="32"/>
      <x:c r="I54" s="33"/>
      <x:c r="J54" s="33"/>
    </x:row>
    <x:row r="55">
      <x:c r="A55" s="87"/>
      <x:c r="B55" s="91"/>
      <x:c r="C55" s="32"/>
      <x:c r="D55" s="33"/>
      <x:c r="E55" s="33"/>
      <x:c r="F55" s="34"/>
      <x:c r="G55" s="33"/>
      <x:c r="H55" s="32"/>
      <x:c r="I55" s="33"/>
      <x:c r="J55" s="33"/>
    </x:row>
    <x:row r="56">
      <x:c r="A56" s="87"/>
      <x:c r="B56" s="91"/>
      <x:c r="C56" s="32"/>
      <x:c r="D56" s="33"/>
      <x:c r="E56" s="33"/>
      <x:c r="F56" s="34"/>
      <x:c r="G56" s="33"/>
      <x:c r="H56" s="32"/>
      <x:c r="I56" s="33"/>
      <x:c r="J56" s="33"/>
    </x:row>
    <x:row r="57">
      <x:c r="A57" s="87"/>
      <x:c r="B57" s="91"/>
      <x:c r="C57" s="32"/>
      <x:c r="D57" s="33"/>
      <x:c r="E57" s="33"/>
      <x:c r="F57" s="34"/>
      <x:c r="G57" s="33"/>
      <x:c r="H57" s="32"/>
      <x:c r="I57" s="33"/>
      <x:c r="J57" s="33"/>
    </x:row>
    <x:row r="58">
      <x:c r="A58" s="87"/>
      <x:c r="B58" s="91"/>
      <x:c r="C58" s="32"/>
      <x:c r="D58" s="33"/>
      <x:c r="E58" s="33"/>
      <x:c r="F58" s="34"/>
      <x:c r="G58" s="33"/>
      <x:c r="H58" s="32"/>
      <x:c r="I58" s="33"/>
      <x:c r="J58" s="33"/>
    </x:row>
    <x:row r="59">
      <x:c r="A59" s="87"/>
      <x:c r="B59" s="91"/>
      <x:c r="C59" s="32"/>
      <x:c r="D59" s="33"/>
      <x:c r="E59" s="33"/>
      <x:c r="F59" s="34"/>
      <x:c r="G59" s="33"/>
      <x:c r="H59" s="32"/>
      <x:c r="I59" s="33"/>
      <x:c r="J59" s="33"/>
    </x:row>
    <x:row r="60">
      <x:c r="A60" s="87"/>
      <x:c r="B60" s="91"/>
      <x:c r="C60" s="32"/>
      <x:c r="D60" s="33"/>
      <x:c r="E60" s="33"/>
      <x:c r="F60" s="34"/>
      <x:c r="G60" s="33"/>
      <x:c r="H60" s="32"/>
      <x:c r="I60" s="33"/>
      <x:c r="J60" s="33"/>
    </x:row>
    <x:row r="61">
      <x:c r="A61" s="87"/>
      <x:c r="B61" s="91"/>
      <x:c r="C61" s="32"/>
      <x:c r="D61" s="33"/>
      <x:c r="E61" s="33"/>
      <x:c r="F61" s="34"/>
      <x:c r="G61" s="33"/>
      <x:c r="H61" s="32"/>
      <x:c r="I61" s="33"/>
      <x:c r="J61" s="33"/>
    </x:row>
    <x:row r="62">
      <x:c r="A62" s="87"/>
      <x:c r="B62" s="91"/>
      <x:c r="C62" s="32"/>
      <x:c r="D62" s="33"/>
      <x:c r="E62" s="33"/>
      <x:c r="F62" s="34"/>
      <x:c r="G62" s="33"/>
      <x:c r="H62" s="32"/>
      <x:c r="I62" s="33"/>
      <x:c r="J62" s="33"/>
    </x:row>
    <x:row r="63">
      <x:c r="A63" s="87"/>
      <x:c r="B63" s="91"/>
      <x:c r="C63" s="32"/>
      <x:c r="D63" s="33"/>
      <x:c r="E63" s="33"/>
      <x:c r="F63" s="34"/>
      <x:c r="G63" s="33"/>
      <x:c r="H63" s="32"/>
      <x:c r="I63" s="33"/>
      <x:c r="J63" s="33"/>
    </x:row>
    <x:row r="64">
      <x:c r="A64" s="87"/>
      <x:c r="B64" s="91"/>
      <x:c r="C64" s="32"/>
      <x:c r="D64" s="33"/>
      <x:c r="E64" s="33"/>
      <x:c r="F64" s="34"/>
      <x:c r="G64" s="33"/>
      <x:c r="H64" s="32"/>
      <x:c r="I64" s="33"/>
      <x:c r="J64" s="33"/>
    </x:row>
    <x:row r="65">
      <x:c r="A65" s="87"/>
      <x:c r="B65" s="91"/>
      <x:c r="C65" s="32"/>
      <x:c r="D65" s="33"/>
      <x:c r="E65" s="33"/>
      <x:c r="F65" s="34"/>
      <x:c r="G65" s="33"/>
      <x:c r="H65" s="32"/>
      <x:c r="I65" s="33"/>
      <x:c r="J65" s="33"/>
    </x:row>
    <x:row r="66">
      <x:c r="A66" s="87"/>
      <x:c r="B66" s="91"/>
      <x:c r="C66" s="32"/>
      <x:c r="D66" s="33"/>
      <x:c r="E66" s="33"/>
      <x:c r="F66" s="34"/>
      <x:c r="G66" s="33"/>
      <x:c r="H66" s="32"/>
      <x:c r="I66" s="33"/>
      <x:c r="J66" s="33"/>
    </x:row>
    <x:row r="67">
      <x:c r="A67" s="87"/>
      <x:c r="B67" s="91"/>
      <x:c r="C67" s="32"/>
      <x:c r="D67" s="33"/>
      <x:c r="E67" s="33"/>
      <x:c r="F67" s="34"/>
      <x:c r="G67" s="33"/>
      <x:c r="H67" s="32"/>
      <x:c r="I67" s="33"/>
      <x:c r="J67" s="33"/>
    </x:row>
    <x:row r="68">
      <x:c r="A68" s="87"/>
      <x:c r="B68" s="91"/>
      <x:c r="C68" s="32"/>
      <x:c r="D68" s="33"/>
      <x:c r="E68" s="33"/>
      <x:c r="F68" s="34"/>
      <x:c r="G68" s="33"/>
      <x:c r="H68" s="32"/>
      <x:c r="I68" s="33"/>
      <x:c r="J68" s="33"/>
    </x:row>
    <x:row r="69">
      <x:c r="A69" s="87"/>
      <x:c r="B69" s="91"/>
      <x:c r="C69" s="32"/>
      <x:c r="D69" s="33"/>
      <x:c r="E69" s="33"/>
      <x:c r="F69" s="34"/>
      <x:c r="G69" s="33"/>
      <x:c r="H69" s="32"/>
      <x:c r="I69" s="33"/>
      <x:c r="J69" s="33"/>
    </x:row>
    <x:row r="70">
      <x:c r="A70" s="87"/>
      <x:c r="B70" s="91"/>
      <x:c r="C70" s="32"/>
      <x:c r="D70" s="33"/>
      <x:c r="E70" s="33"/>
      <x:c r="F70" s="34"/>
      <x:c r="G70" s="33"/>
      <x:c r="H70" s="32"/>
      <x:c r="I70" s="33"/>
      <x:c r="J70" s="33"/>
    </x:row>
    <x:row r="71">
      <x:c r="A71" s="87"/>
      <x:c r="B71" s="91"/>
      <x:c r="C71" s="32"/>
      <x:c r="D71" s="33"/>
      <x:c r="E71" s="33"/>
      <x:c r="F71" s="34"/>
      <x:c r="G71" s="33"/>
      <x:c r="H71" s="32"/>
      <x:c r="I71" s="33"/>
      <x:c r="J71" s="33"/>
    </x:row>
    <x:row r="72">
      <x:c r="A72" s="87"/>
      <x:c r="B72" s="91"/>
      <x:c r="C72" s="32"/>
      <x:c r="D72" s="33"/>
      <x:c r="E72" s="33"/>
      <x:c r="F72" s="34"/>
      <x:c r="G72" s="33"/>
      <x:c r="H72" s="32"/>
      <x:c r="I72" s="33"/>
      <x:c r="J72" s="33"/>
    </x:row>
    <x:row r="73">
      <x:c r="A73" s="87"/>
      <x:c r="B73" s="91"/>
      <x:c r="C73" s="32"/>
      <x:c r="D73" s="33"/>
      <x:c r="E73" s="33"/>
      <x:c r="F73" s="34"/>
      <x:c r="G73" s="33"/>
      <x:c r="H73" s="32"/>
      <x:c r="I73" s="33"/>
      <x:c r="J73" s="33"/>
    </x:row>
    <x:row r="74">
      <x:c r="A74" s="87"/>
      <x:c r="B74" s="91"/>
      <x:c r="C74" s="32"/>
      <x:c r="D74" s="33"/>
      <x:c r="E74" s="33"/>
      <x:c r="F74" s="34"/>
      <x:c r="G74" s="33"/>
      <x:c r="H74" s="32"/>
      <x:c r="I74" s="33"/>
      <x:c r="J74" s="33"/>
    </x:row>
    <x:row r="75">
      <x:c r="A75" s="87"/>
      <x:c r="B75" s="91"/>
      <x:c r="C75" s="32"/>
      <x:c r="D75" s="33"/>
      <x:c r="E75" s="33"/>
      <x:c r="F75" s="34"/>
      <x:c r="G75" s="33"/>
      <x:c r="H75" s="32"/>
      <x:c r="I75" s="33"/>
      <x:c r="J75" s="33"/>
    </x:row>
    <x:row r="76">
      <x:c r="A76" s="87"/>
      <x:c r="B76" s="91"/>
      <x:c r="C76" s="32"/>
      <x:c r="D76" s="33"/>
      <x:c r="E76" s="33"/>
      <x:c r="F76" s="34"/>
      <x:c r="G76" s="33"/>
      <x:c r="H76" s="32"/>
      <x:c r="I76" s="33"/>
      <x:c r="J76" s="33"/>
    </x:row>
    <x:row r="77">
      <x:c r="A77" s="87"/>
      <x:c r="B77" s="91"/>
      <x:c r="C77" s="32"/>
      <x:c r="D77" s="33"/>
      <x:c r="E77" s="33"/>
      <x:c r="F77" s="34"/>
      <x:c r="G77" s="33"/>
      <x:c r="H77" s="32"/>
      <x:c r="I77" s="33"/>
      <x:c r="J77" s="33"/>
    </x:row>
    <x:row r="78">
      <x:c r="A78" s="87"/>
      <x:c r="B78" s="91"/>
      <x:c r="C78" s="32"/>
      <x:c r="D78" s="33"/>
      <x:c r="E78" s="33"/>
      <x:c r="F78" s="34"/>
      <x:c r="G78" s="33"/>
      <x:c r="H78" s="32"/>
      <x:c r="I78" s="33"/>
      <x:c r="J78" s="33"/>
    </x:row>
    <x:row r="79">
      <x:c r="A79" s="87"/>
      <x:c r="B79" s="91"/>
      <x:c r="C79" s="32"/>
      <x:c r="D79" s="33"/>
      <x:c r="E79" s="33"/>
      <x:c r="F79" s="34"/>
      <x:c r="G79" s="33"/>
      <x:c r="H79" s="32"/>
      <x:c r="I79" s="33"/>
      <x:c r="J79" s="33"/>
    </x:row>
    <x:row r="80">
      <x:c r="A80" s="87"/>
      <x:c r="B80" s="91"/>
      <x:c r="C80" s="32"/>
      <x:c r="D80" s="33"/>
      <x:c r="E80" s="33"/>
      <x:c r="F80" s="34"/>
      <x:c r="G80" s="33"/>
      <x:c r="H80" s="32"/>
      <x:c r="I80" s="33"/>
      <x:c r="J80" s="33"/>
    </x:row>
    <x:row r="81">
      <x:c r="A81" s="87"/>
      <x:c r="B81" s="91"/>
      <x:c r="C81" s="32"/>
      <x:c r="D81" s="33"/>
      <x:c r="E81" s="33"/>
      <x:c r="F81" s="34"/>
      <x:c r="G81" s="33"/>
      <x:c r="H81" s="32"/>
      <x:c r="I81" s="33"/>
      <x:c r="J81" s="33"/>
    </x:row>
    <x:row r="82">
      <x:c r="A82" s="87"/>
      <x:c r="B82" s="91"/>
      <x:c r="C82" s="32"/>
      <x:c r="D82" s="33"/>
      <x:c r="E82" s="33"/>
      <x:c r="F82" s="34"/>
      <x:c r="G82" s="33"/>
      <x:c r="H82" s="32"/>
      <x:c r="I82" s="33"/>
      <x:c r="J82" s="33"/>
    </x:row>
    <x:row r="83">
      <x:c r="A83" s="87"/>
      <x:c r="B83" s="91"/>
      <x:c r="C83" s="32"/>
      <x:c r="D83" s="33"/>
      <x:c r="E83" s="33"/>
      <x:c r="F83" s="34"/>
      <x:c r="G83" s="33"/>
      <x:c r="H83" s="32"/>
      <x:c r="I83" s="33"/>
      <x:c r="J83" s="33"/>
    </x:row>
    <x:row r="84">
      <x:c r="A84" s="87"/>
      <x:c r="B84" s="91"/>
      <x:c r="C84" s="32"/>
      <x:c r="D84" s="33"/>
      <x:c r="E84" s="33"/>
      <x:c r="F84" s="34"/>
      <x:c r="G84" s="33"/>
      <x:c r="H84" s="32"/>
      <x:c r="I84" s="33"/>
      <x:c r="J84" s="33"/>
    </x:row>
    <x:row r="85">
      <x:c r="A85" s="87"/>
      <x:c r="B85" s="91"/>
      <x:c r="C85" s="32"/>
      <x:c r="D85" s="33"/>
      <x:c r="E85" s="33"/>
      <x:c r="F85" s="34"/>
      <x:c r="G85" s="33"/>
      <x:c r="H85" s="32"/>
      <x:c r="I85" s="33"/>
      <x:c r="J85" s="33"/>
    </x:row>
    <x:row r="86">
      <x:c r="A86" s="87"/>
      <x:c r="B86" s="91"/>
      <x:c r="C86" s="32"/>
      <x:c r="D86" s="33"/>
      <x:c r="E86" s="33"/>
      <x:c r="F86" s="34"/>
      <x:c r="G86" s="33"/>
      <x:c r="H86" s="32"/>
      <x:c r="I86" s="33"/>
      <x:c r="J86" s="33"/>
    </x:row>
    <x:row r="87">
      <x:c r="A87" s="87"/>
      <x:c r="B87" s="91"/>
      <x:c r="C87" s="32"/>
      <x:c r="D87" s="33"/>
      <x:c r="E87" s="33"/>
      <x:c r="F87" s="34"/>
      <x:c r="G87" s="33"/>
      <x:c r="H87" s="32"/>
      <x:c r="I87" s="33"/>
      <x:c r="J87" s="33"/>
    </x:row>
    <x:row r="88">
      <x:c r="A88" s="87"/>
      <x:c r="B88" s="91"/>
      <x:c r="C88" s="32"/>
      <x:c r="D88" s="33"/>
      <x:c r="E88" s="33"/>
      <x:c r="F88" s="34"/>
      <x:c r="G88" s="33"/>
      <x:c r="H88" s="32"/>
      <x:c r="I88" s="33"/>
      <x:c r="J88" s="33"/>
    </x:row>
    <x:row r="89">
      <x:c r="A89" s="87"/>
      <x:c r="B89" s="91"/>
      <x:c r="C89" s="32"/>
      <x:c r="D89" s="33"/>
      <x:c r="E89" s="33"/>
      <x:c r="F89" s="34"/>
      <x:c r="G89" s="33"/>
      <x:c r="H89" s="32"/>
      <x:c r="I89" s="33"/>
      <x:c r="J89" s="33"/>
    </x:row>
    <x:row r="90">
      <x:c r="A90" s="87"/>
      <x:c r="B90" s="91"/>
      <x:c r="C90" s="32"/>
      <x:c r="D90" s="33"/>
      <x:c r="E90" s="33"/>
      <x:c r="F90" s="34"/>
      <x:c r="G90" s="33"/>
      <x:c r="H90" s="32"/>
      <x:c r="I90" s="33"/>
      <x:c r="J90" s="33"/>
    </x:row>
    <x:row r="91">
      <x:c r="A91" s="87"/>
      <x:c r="B91" s="91"/>
      <x:c r="C91" s="32"/>
      <x:c r="D91" s="33"/>
      <x:c r="E91" s="33"/>
      <x:c r="F91" s="34"/>
      <x:c r="G91" s="33"/>
      <x:c r="H91" s="32"/>
      <x:c r="I91" s="33"/>
      <x:c r="J91" s="33"/>
    </x:row>
    <x:row r="92">
      <x:c r="A92" s="87"/>
      <x:c r="B92" s="91"/>
      <x:c r="C92" s="32"/>
      <x:c r="D92" s="33"/>
      <x:c r="E92" s="33"/>
      <x:c r="F92" s="34"/>
      <x:c r="G92" s="33"/>
      <x:c r="H92" s="32"/>
      <x:c r="I92" s="33"/>
      <x:c r="J92" s="33"/>
    </x:row>
    <x:row r="93">
      <x:c r="A93" s="87"/>
      <x:c r="B93" s="91"/>
      <x:c r="C93" s="32"/>
      <x:c r="D93" s="33"/>
      <x:c r="E93" s="33"/>
      <x:c r="F93" s="34"/>
      <x:c r="G93" s="33"/>
      <x:c r="H93" s="32"/>
      <x:c r="I93" s="33"/>
      <x:c r="J93" s="33"/>
    </x:row>
    <x:row r="94">
      <x:c r="A94" s="87"/>
      <x:c r="B94" s="91"/>
      <x:c r="C94" s="32"/>
      <x:c r="D94" s="33"/>
      <x:c r="E94" s="33"/>
      <x:c r="F94" s="34"/>
      <x:c r="G94" s="33"/>
      <x:c r="H94" s="32"/>
      <x:c r="I94" s="33"/>
      <x:c r="J94" s="33"/>
    </x:row>
    <x:row r="95">
      <x:c r="A95" s="87"/>
      <x:c r="B95" s="91"/>
      <x:c r="C95" s="32"/>
      <x:c r="D95" s="33"/>
      <x:c r="E95" s="33"/>
      <x:c r="F95" s="34"/>
      <x:c r="G95" s="33"/>
      <x:c r="H95" s="32"/>
      <x:c r="I95" s="33"/>
      <x:c r="J95" s="33"/>
    </x:row>
    <x:row r="96">
      <x:c r="A96" s="87"/>
      <x:c r="B96" s="91"/>
      <x:c r="C96" s="32"/>
      <x:c r="D96" s="33"/>
      <x:c r="E96" s="33"/>
      <x:c r="F96" s="34"/>
      <x:c r="G96" s="33"/>
      <x:c r="H96" s="32"/>
      <x:c r="I96" s="33"/>
      <x:c r="J96" s="33"/>
    </x:row>
    <x:row r="97">
      <x:c r="A97" s="87"/>
      <x:c r="B97" s="91"/>
      <x:c r="C97" s="32"/>
      <x:c r="D97" s="33"/>
      <x:c r="E97" s="33"/>
      <x:c r="F97" s="34"/>
      <x:c r="G97" s="33"/>
      <x:c r="H97" s="32"/>
      <x:c r="I97" s="33"/>
      <x:c r="J97" s="33"/>
    </x:row>
    <x:row r="98">
      <x:c r="A98" s="87"/>
      <x:c r="B98" s="91"/>
      <x:c r="C98" s="32"/>
      <x:c r="D98" s="33"/>
      <x:c r="E98" s="33"/>
      <x:c r="F98" s="34"/>
      <x:c r="G98" s="33"/>
      <x:c r="H98" s="32"/>
      <x:c r="I98" s="33"/>
      <x:c r="J98" s="33"/>
    </x:row>
    <x:row r="99">
      <x:c r="A99" s="87"/>
      <x:c r="B99" s="91"/>
      <x:c r="C99" s="32"/>
      <x:c r="D99" s="33"/>
      <x:c r="E99" s="33"/>
      <x:c r="F99" s="34"/>
      <x:c r="G99" s="33"/>
      <x:c r="H99" s="32"/>
      <x:c r="I99" s="33"/>
      <x:c r="J99" s="33"/>
    </x:row>
    <x:row r="100">
      <x:c r="A100" s="87"/>
      <x:c r="B100" s="91"/>
      <x:c r="C100" s="32"/>
      <x:c r="D100" s="33"/>
      <x:c r="E100" s="33"/>
      <x:c r="F100" s="34"/>
      <x:c r="G100" s="33"/>
      <x:c r="H100" s="32"/>
      <x:c r="I100" s="33"/>
      <x:c r="J100" s="33"/>
    </x:row>
    <x:row r="101">
      <x:c r="A101" s="87"/>
      <x:c r="B101" s="91"/>
      <x:c r="C101" s="32"/>
      <x:c r="D101" s="33"/>
      <x:c r="E101" s="33"/>
      <x:c r="F101" s="34"/>
      <x:c r="G101" s="33"/>
      <x:c r="H101" s="32"/>
      <x:c r="I101" s="33"/>
      <x:c r="J101" s="33"/>
    </x:row>
    <x:row r="102">
      <x:c r="A102" s="87"/>
      <x:c r="B102" s="91"/>
      <x:c r="C102" s="32"/>
      <x:c r="D102" s="33"/>
      <x:c r="E102" s="33"/>
      <x:c r="F102" s="34"/>
      <x:c r="G102" s="33"/>
      <x:c r="H102" s="32"/>
      <x:c r="I102" s="33"/>
      <x:c r="J102" s="33"/>
    </x:row>
    <x:row r="103">
      <x:c r="A103" s="87"/>
      <x:c r="B103" s="91"/>
      <x:c r="C103" s="32"/>
      <x:c r="D103" s="33"/>
      <x:c r="E103" s="33"/>
      <x:c r="F103" s="34"/>
      <x:c r="G103" s="33"/>
      <x:c r="H103" s="32"/>
      <x:c r="I103" s="33"/>
      <x:c r="J103" s="33"/>
    </x:row>
    <x:row r="104">
      <x:c r="A104" s="87"/>
      <x:c r="B104" s="91"/>
      <x:c r="C104" s="32"/>
      <x:c r="D104" s="33"/>
      <x:c r="E104" s="33"/>
      <x:c r="F104" s="34"/>
      <x:c r="G104" s="33"/>
      <x:c r="H104" s="32"/>
      <x:c r="I104" s="33"/>
      <x:c r="J104" s="33"/>
    </x:row>
    <x:row r="105">
      <x:c r="A105" s="87"/>
      <x:c r="B105" s="91"/>
      <x:c r="C105" s="32"/>
      <x:c r="D105" s="33"/>
      <x:c r="E105" s="33"/>
      <x:c r="F105" s="34"/>
      <x:c r="G105" s="33"/>
      <x:c r="H105" s="32"/>
      <x:c r="I105" s="33"/>
      <x:c r="J105" s="33"/>
    </x:row>
    <x:row r="106">
      <x:c r="A106" s="87"/>
      <x:c r="B106" s="91"/>
      <x:c r="C106" s="32"/>
      <x:c r="D106" s="33"/>
      <x:c r="E106" s="33"/>
      <x:c r="F106" s="34"/>
      <x:c r="G106" s="33"/>
      <x:c r="H106" s="32"/>
      <x:c r="I106" s="33"/>
      <x:c r="J106" s="33"/>
    </x:row>
    <x:row r="107">
      <x:c r="A107" s="87"/>
      <x:c r="B107" s="91"/>
      <x:c r="C107" s="32"/>
      <x:c r="D107" s="33"/>
      <x:c r="E107" s="33"/>
      <x:c r="F107" s="34"/>
      <x:c r="G107" s="33"/>
      <x:c r="H107" s="32"/>
      <x:c r="I107" s="33"/>
      <x:c r="J107" s="33"/>
    </x:row>
    <x:row r="108">
      <x:c r="A108" s="87"/>
      <x:c r="B108" s="91"/>
      <x:c r="C108" s="32"/>
      <x:c r="D108" s="33"/>
      <x:c r="E108" s="33"/>
      <x:c r="F108" s="34"/>
      <x:c r="G108" s="33"/>
      <x:c r="H108" s="32"/>
      <x:c r="I108" s="33"/>
      <x:c r="J108" s="33"/>
    </x:row>
    <x:row r="109">
      <x:c r="A109" s="87"/>
      <x:c r="B109" s="91"/>
      <x:c r="C109" s="32"/>
      <x:c r="D109" s="33"/>
      <x:c r="E109" s="33"/>
      <x:c r="F109" s="34"/>
      <x:c r="G109" s="33"/>
      <x:c r="H109" s="32"/>
      <x:c r="I109" s="33"/>
      <x:c r="J109" s="33"/>
    </x:row>
    <x:row r="110">
      <x:c r="A110" s="87"/>
      <x:c r="B110" s="91"/>
      <x:c r="C110" s="32"/>
      <x:c r="D110" s="33"/>
      <x:c r="E110" s="33"/>
      <x:c r="F110" s="34"/>
      <x:c r="G110" s="33"/>
      <x:c r="H110" s="32"/>
      <x:c r="I110" s="33"/>
      <x:c r="J110" s="33"/>
    </x:row>
    <x:row r="111">
      <x:c r="A111" s="87"/>
      <x:c r="B111" s="91"/>
      <x:c r="C111" s="32"/>
      <x:c r="D111" s="33"/>
      <x:c r="E111" s="33"/>
      <x:c r="F111" s="34"/>
      <x:c r="G111" s="33"/>
      <x:c r="H111" s="32"/>
      <x:c r="I111" s="33"/>
      <x:c r="J111" s="33"/>
    </x:row>
    <x:row r="112">
      <x:c r="A112" s="87"/>
      <x:c r="B112" s="91"/>
      <x:c r="C112" s="32"/>
      <x:c r="D112" s="33"/>
      <x:c r="E112" s="33"/>
      <x:c r="F112" s="34"/>
      <x:c r="G112" s="33"/>
      <x:c r="H112" s="32"/>
      <x:c r="I112" s="33"/>
      <x:c r="J112" s="33"/>
    </x:row>
    <x:row r="113">
      <x:c r="A113" s="87"/>
      <x:c r="B113" s="91"/>
      <x:c r="C113" s="32"/>
      <x:c r="D113" s="33"/>
      <x:c r="E113" s="33"/>
      <x:c r="F113" s="34"/>
      <x:c r="G113" s="33"/>
      <x:c r="H113" s="32"/>
      <x:c r="I113" s="33"/>
      <x:c r="J113" s="33"/>
    </x:row>
    <x:row r="114">
      <x:c r="A114" s="87"/>
      <x:c r="B114" s="91"/>
      <x:c r="C114" s="32"/>
      <x:c r="D114" s="33"/>
      <x:c r="E114" s="33"/>
      <x:c r="F114" s="34"/>
      <x:c r="G114" s="33"/>
      <x:c r="H114" s="32"/>
      <x:c r="I114" s="33"/>
      <x:c r="J114" s="33"/>
    </x:row>
    <x:row r="115">
      <x:c r="A115" s="87"/>
      <x:c r="B115" s="91"/>
      <x:c r="C115" s="32"/>
      <x:c r="D115" s="33"/>
      <x:c r="E115" s="33"/>
      <x:c r="F115" s="34"/>
      <x:c r="G115" s="33"/>
      <x:c r="H115" s="32"/>
      <x:c r="I115" s="33"/>
      <x:c r="J115" s="33"/>
    </x:row>
    <x:row r="116">
      <x:c r="A116" s="87"/>
      <x:c r="B116" s="91"/>
      <x:c r="C116" s="32"/>
      <x:c r="D116" s="33"/>
      <x:c r="E116" s="33"/>
      <x:c r="F116" s="34"/>
      <x:c r="G116" s="33"/>
      <x:c r="H116" s="32"/>
      <x:c r="I116" s="33"/>
      <x:c r="J116" s="33"/>
    </x:row>
    <x:row r="117">
      <x:c r="A117" s="87"/>
      <x:c r="B117" s="91"/>
      <x:c r="C117" s="32"/>
      <x:c r="D117" s="33"/>
      <x:c r="E117" s="33"/>
      <x:c r="F117" s="34"/>
      <x:c r="G117" s="33"/>
      <x:c r="H117" s="32"/>
      <x:c r="I117" s="33"/>
      <x:c r="J117" s="33"/>
    </x:row>
    <x:row r="118">
      <x:c r="A118" s="87"/>
      <x:c r="B118" s="91"/>
      <x:c r="C118" s="32"/>
      <x:c r="D118" s="33"/>
      <x:c r="E118" s="33"/>
      <x:c r="F118" s="34"/>
      <x:c r="G118" s="33"/>
      <x:c r="H118" s="32"/>
      <x:c r="I118" s="33"/>
      <x:c r="J118" s="33"/>
    </x:row>
    <x:row r="119">
      <x:c r="A119" s="87"/>
      <x:c r="B119" s="91"/>
      <x:c r="C119" s="32"/>
      <x:c r="D119" s="33"/>
      <x:c r="E119" s="33"/>
      <x:c r="F119" s="34"/>
      <x:c r="G119" s="33"/>
      <x:c r="H119" s="32"/>
      <x:c r="I119" s="33"/>
      <x:c r="J119" s="33"/>
    </x:row>
    <x:row r="120">
      <x:c r="A120" s="87"/>
      <x:c r="B120" s="91"/>
      <x:c r="C120" s="32"/>
      <x:c r="D120" s="33"/>
      <x:c r="E120" s="33"/>
      <x:c r="F120" s="34"/>
      <x:c r="G120" s="33"/>
      <x:c r="H120" s="32"/>
      <x:c r="I120" s="33"/>
      <x:c r="J120" s="33"/>
    </x:row>
    <x:row r="121">
      <x:c r="A121" s="87"/>
      <x:c r="B121" s="91"/>
      <x:c r="C121" s="32"/>
      <x:c r="D121" s="33"/>
      <x:c r="E121" s="33"/>
      <x:c r="F121" s="34"/>
      <x:c r="G121" s="33"/>
      <x:c r="H121" s="32"/>
      <x:c r="I121" s="33"/>
      <x:c r="J121" s="33"/>
    </x:row>
    <x:row r="122">
      <x:c r="A122" s="87"/>
      <x:c r="B122" s="91"/>
      <x:c r="C122" s="32"/>
      <x:c r="D122" s="33"/>
      <x:c r="E122" s="33"/>
      <x:c r="F122" s="34"/>
      <x:c r="G122" s="33"/>
      <x:c r="H122" s="32"/>
      <x:c r="I122" s="33"/>
      <x:c r="J122" s="33"/>
    </x:row>
    <x:row r="123">
      <x:c r="A123" s="87"/>
      <x:c r="B123" s="91"/>
      <x:c r="C123" s="32"/>
      <x:c r="D123" s="33"/>
      <x:c r="E123" s="33"/>
      <x:c r="F123" s="34"/>
      <x:c r="G123" s="33"/>
      <x:c r="H123" s="32"/>
      <x:c r="I123" s="33"/>
      <x:c r="J123" s="33"/>
    </x:row>
    <x:row r="124">
      <x:c r="A124" s="87"/>
      <x:c r="B124" s="91"/>
      <x:c r="C124" s="32"/>
      <x:c r="D124" s="33"/>
      <x:c r="E124" s="33"/>
      <x:c r="F124" s="34"/>
      <x:c r="G124" s="33"/>
      <x:c r="H124" s="32"/>
      <x:c r="I124" s="33"/>
      <x:c r="J124" s="33"/>
    </x:row>
    <x:row r="125">
      <x:c r="A125" s="87"/>
      <x:c r="B125" s="91"/>
      <x:c r="C125" s="32"/>
      <x:c r="D125" s="33"/>
      <x:c r="E125" s="33"/>
      <x:c r="F125" s="34"/>
      <x:c r="G125" s="33"/>
      <x:c r="H125" s="32"/>
      <x:c r="I125" s="33"/>
      <x:c r="J125" s="33"/>
    </x:row>
    <x:row r="126">
      <x:c r="A126" s="87"/>
      <x:c r="B126" s="91"/>
      <x:c r="C126" s="32"/>
      <x:c r="D126" s="33"/>
      <x:c r="E126" s="33"/>
      <x:c r="F126" s="34"/>
      <x:c r="G126" s="33"/>
      <x:c r="H126" s="32"/>
      <x:c r="I126" s="33"/>
      <x:c r="J126" s="33"/>
    </x:row>
    <x:row r="127">
      <x:c r="A127" s="87"/>
      <x:c r="B127" s="91"/>
      <x:c r="C127" s="32"/>
      <x:c r="D127" s="33"/>
      <x:c r="E127" s="33"/>
      <x:c r="F127" s="34"/>
      <x:c r="G127" s="33"/>
      <x:c r="H127" s="32"/>
      <x:c r="I127" s="33"/>
      <x:c r="J127" s="33"/>
    </x:row>
    <x:row r="128">
      <x:c r="A128" s="87"/>
      <x:c r="B128" s="91"/>
      <x:c r="C128" s="32"/>
      <x:c r="D128" s="33"/>
      <x:c r="E128" s="33"/>
      <x:c r="F128" s="34"/>
      <x:c r="G128" s="33"/>
      <x:c r="H128" s="32"/>
      <x:c r="I128" s="33"/>
      <x:c r="J128" s="33"/>
    </x:row>
    <x:row r="129">
      <x:c r="A129" s="87"/>
      <x:c r="B129" s="91"/>
      <x:c r="C129" s="32"/>
      <x:c r="D129" s="33"/>
      <x:c r="E129" s="33"/>
      <x:c r="F129" s="34"/>
      <x:c r="G129" s="33"/>
      <x:c r="H129" s="32"/>
      <x:c r="I129" s="33"/>
      <x:c r="J129" s="33"/>
    </x:row>
    <x:row r="130">
      <x:c r="A130" s="87"/>
      <x:c r="B130" s="91"/>
      <x:c r="C130" s="32"/>
      <x:c r="D130" s="33"/>
      <x:c r="E130" s="33"/>
      <x:c r="F130" s="34"/>
      <x:c r="G130" s="33"/>
      <x:c r="H130" s="32"/>
      <x:c r="I130" s="33"/>
      <x:c r="J130" s="33"/>
    </x:row>
    <x:row r="131">
      <x:c r="A131" s="87"/>
      <x:c r="B131" s="91"/>
      <x:c r="C131" s="32"/>
      <x:c r="D131" s="33"/>
      <x:c r="E131" s="33"/>
      <x:c r="F131" s="34"/>
      <x:c r="G131" s="33"/>
      <x:c r="H131" s="32"/>
      <x:c r="I131" s="33"/>
      <x:c r="J131" s="33"/>
    </x:row>
    <x:row r="132">
      <x:c r="A132" s="87"/>
      <x:c r="B132" s="91"/>
      <x:c r="C132" s="32"/>
      <x:c r="D132" s="33"/>
      <x:c r="E132" s="33"/>
      <x:c r="F132" s="34"/>
      <x:c r="G132" s="33"/>
      <x:c r="H132" s="32"/>
      <x:c r="I132" s="33"/>
      <x:c r="J132" s="33"/>
    </x:row>
    <x:row r="133">
      <x:c r="A133" s="87"/>
      <x:c r="B133" s="91"/>
      <x:c r="C133" s="32"/>
      <x:c r="D133" s="33"/>
      <x:c r="E133" s="33"/>
      <x:c r="F133" s="34"/>
      <x:c r="G133" s="33"/>
      <x:c r="H133" s="32"/>
      <x:c r="I133" s="33"/>
      <x:c r="J133" s="33"/>
    </x:row>
    <x:row r="134">
      <x:c r="A134" s="87"/>
      <x:c r="B134" s="91"/>
      <x:c r="C134" s="32"/>
      <x:c r="D134" s="33"/>
      <x:c r="E134" s="33"/>
      <x:c r="F134" s="34"/>
      <x:c r="G134" s="33"/>
      <x:c r="H134" s="32"/>
      <x:c r="I134" s="33"/>
      <x:c r="J134" s="33"/>
    </x:row>
    <x:row r="135">
      <x:c r="A135" s="87"/>
      <x:c r="B135" s="91"/>
      <x:c r="C135" s="32"/>
      <x:c r="D135" s="33"/>
      <x:c r="E135" s="33"/>
      <x:c r="F135" s="34"/>
      <x:c r="G135" s="33"/>
      <x:c r="H135" s="32"/>
      <x:c r="I135" s="33"/>
      <x:c r="J135" s="33"/>
    </x:row>
    <x:row r="136">
      <x:c r="A136" s="87"/>
      <x:c r="B136" s="91"/>
      <x:c r="C136" s="32"/>
      <x:c r="D136" s="33"/>
      <x:c r="E136" s="33"/>
      <x:c r="F136" s="34"/>
      <x:c r="G136" s="33"/>
      <x:c r="H136" s="32"/>
      <x:c r="I136" s="33"/>
      <x:c r="J136" s="33"/>
    </x:row>
    <x:row r="137">
      <x:c r="A137" s="87"/>
      <x:c r="B137" s="91"/>
      <x:c r="C137" s="32"/>
      <x:c r="D137" s="33"/>
      <x:c r="E137" s="33"/>
      <x:c r="F137" s="34"/>
      <x:c r="G137" s="33"/>
      <x:c r="H137" s="32"/>
      <x:c r="I137" s="33"/>
      <x:c r="J137" s="33"/>
    </x:row>
    <x:row r="138">
      <x:c r="A138" s="87"/>
      <x:c r="B138" s="91"/>
      <x:c r="C138" s="32"/>
      <x:c r="D138" s="33"/>
      <x:c r="E138" s="33"/>
      <x:c r="F138" s="34"/>
      <x:c r="G138" s="33"/>
      <x:c r="H138" s="32"/>
      <x:c r="I138" s="33"/>
      <x:c r="J138" s="33"/>
    </x:row>
    <x:row r="139">
      <x:c r="A139" s="87"/>
      <x:c r="B139" s="91"/>
      <x:c r="C139" s="32"/>
      <x:c r="D139" s="33"/>
      <x:c r="E139" s="33"/>
      <x:c r="F139" s="34"/>
      <x:c r="G139" s="33"/>
      <x:c r="H139" s="32"/>
      <x:c r="I139" s="33"/>
      <x:c r="J139" s="33"/>
    </x:row>
    <x:row r="140">
      <x:c r="A140" s="87"/>
      <x:c r="B140" s="91"/>
      <x:c r="C140" s="32"/>
      <x:c r="D140" s="33"/>
      <x:c r="E140" s="33"/>
      <x:c r="F140" s="34"/>
      <x:c r="G140" s="33"/>
      <x:c r="H140" s="32"/>
      <x:c r="I140" s="33"/>
      <x:c r="J140" s="33"/>
    </x:row>
    <x:row r="141">
      <x:c r="A141" s="87"/>
      <x:c r="B141" s="91"/>
      <x:c r="C141" s="32"/>
      <x:c r="D141" s="33"/>
      <x:c r="E141" s="33"/>
      <x:c r="F141" s="34"/>
      <x:c r="G141" s="33"/>
      <x:c r="H141" s="32"/>
      <x:c r="I141" s="33"/>
      <x:c r="J141" s="33"/>
    </x:row>
    <x:row r="142">
      <x:c r="A142" s="87"/>
      <x:c r="B142" s="91"/>
      <x:c r="C142" s="32"/>
      <x:c r="D142" s="33"/>
      <x:c r="E142" s="33"/>
      <x:c r="F142" s="34"/>
      <x:c r="G142" s="33"/>
      <x:c r="H142" s="32"/>
      <x:c r="I142" s="33"/>
      <x:c r="J142" s="33"/>
    </x:row>
    <x:row r="143">
      <x:c r="A143" s="87"/>
      <x:c r="B143" s="91"/>
      <x:c r="C143" s="32"/>
      <x:c r="D143" s="33"/>
      <x:c r="E143" s="33"/>
      <x:c r="F143" s="34"/>
      <x:c r="G143" s="33"/>
      <x:c r="H143" s="32"/>
      <x:c r="I143" s="33"/>
      <x:c r="J143" s="33"/>
    </x:row>
    <x:row r="144">
      <x:c r="A144" s="87"/>
      <x:c r="B144" s="91"/>
      <x:c r="C144" s="32"/>
      <x:c r="D144" s="33"/>
      <x:c r="E144" s="33"/>
      <x:c r="F144" s="34"/>
      <x:c r="G144" s="33"/>
      <x:c r="H144" s="32"/>
      <x:c r="I144" s="33"/>
      <x:c r="J144" s="33"/>
    </x:row>
    <x:row r="145">
      <x:c r="A145" s="87"/>
      <x:c r="B145" s="91"/>
      <x:c r="C145" s="32"/>
      <x:c r="D145" s="33"/>
      <x:c r="E145" s="33"/>
      <x:c r="F145" s="34"/>
      <x:c r="G145" s="33"/>
      <x:c r="H145" s="32"/>
      <x:c r="I145" s="33"/>
      <x:c r="J145" s="33"/>
    </x:row>
    <x:row r="146">
      <x:c r="A146" s="87"/>
      <x:c r="B146" s="91"/>
      <x:c r="C146" s="32"/>
      <x:c r="D146" s="33"/>
      <x:c r="E146" s="33"/>
      <x:c r="F146" s="34"/>
      <x:c r="G146" s="33"/>
      <x:c r="H146" s="32"/>
      <x:c r="I146" s="33"/>
      <x:c r="J146" s="33"/>
    </x:row>
    <x:row r="147">
      <x:c r="A147" s="87"/>
      <x:c r="B147" s="91"/>
      <x:c r="C147" s="32"/>
      <x:c r="D147" s="33"/>
      <x:c r="E147" s="33"/>
      <x:c r="F147" s="34"/>
      <x:c r="G147" s="33"/>
      <x:c r="H147" s="32"/>
      <x:c r="I147" s="33"/>
      <x:c r="J147" s="33"/>
    </x:row>
    <x:row r="148">
      <x:c r="A148" s="87"/>
      <x:c r="B148" s="91"/>
      <x:c r="C148" s="32"/>
      <x:c r="D148" s="33"/>
      <x:c r="E148" s="33"/>
      <x:c r="F148" s="34"/>
      <x:c r="G148" s="33"/>
      <x:c r="H148" s="32"/>
      <x:c r="I148" s="33"/>
      <x:c r="J148" s="33"/>
    </x:row>
    <x:row r="149">
      <x:c r="A149" s="87"/>
      <x:c r="B149" s="91"/>
      <x:c r="C149" s="32"/>
      <x:c r="D149" s="33"/>
      <x:c r="E149" s="33"/>
      <x:c r="F149" s="34"/>
      <x:c r="G149" s="33"/>
      <x:c r="H149" s="32"/>
      <x:c r="I149" s="33"/>
      <x:c r="J149" s="33"/>
    </x:row>
    <x:row r="150">
      <x:c r="A150" s="87"/>
      <x:c r="B150" s="91"/>
      <x:c r="C150" s="32"/>
      <x:c r="D150" s="33"/>
      <x:c r="E150" s="33"/>
      <x:c r="F150" s="34"/>
      <x:c r="G150" s="33"/>
      <x:c r="H150" s="32"/>
      <x:c r="I150" s="33"/>
      <x:c r="J150" s="33"/>
    </x:row>
    <x:row r="151">
      <x:c r="A151" s="87"/>
      <x:c r="B151" s="91"/>
      <x:c r="C151" s="32"/>
      <x:c r="D151" s="33"/>
      <x:c r="E151" s="33"/>
      <x:c r="F151" s="34"/>
      <x:c r="G151" s="33"/>
      <x:c r="H151" s="32"/>
      <x:c r="I151" s="33"/>
      <x:c r="J151" s="33"/>
    </x:row>
    <x:row r="152">
      <x:c r="A152" s="87"/>
      <x:c r="B152" s="91"/>
      <x:c r="C152" s="32"/>
      <x:c r="D152" s="33"/>
      <x:c r="E152" s="33"/>
      <x:c r="F152" s="34"/>
      <x:c r="G152" s="33"/>
      <x:c r="H152" s="32"/>
      <x:c r="I152" s="33"/>
      <x:c r="J152" s="33"/>
    </x:row>
    <x:row r="153">
      <x:c r="A153" s="87"/>
      <x:c r="B153" s="91"/>
      <x:c r="C153" s="32"/>
      <x:c r="D153" s="33"/>
      <x:c r="E153" s="33"/>
      <x:c r="F153" s="34"/>
      <x:c r="G153" s="33"/>
      <x:c r="H153" s="32"/>
      <x:c r="I153" s="33"/>
      <x:c r="J153" s="33"/>
    </x:row>
    <x:row r="154">
      <x:c r="A154" s="87"/>
      <x:c r="B154" s="91"/>
      <x:c r="C154" s="32"/>
      <x:c r="D154" s="33"/>
      <x:c r="E154" s="33"/>
      <x:c r="F154" s="34"/>
      <x:c r="G154" s="33"/>
      <x:c r="H154" s="32"/>
      <x:c r="I154" s="33"/>
      <x:c r="J154" s="33"/>
    </x:row>
    <x:row r="155">
      <x:c r="A155" s="87"/>
      <x:c r="B155" s="91"/>
      <x:c r="C155" s="32"/>
      <x:c r="D155" s="33"/>
      <x:c r="E155" s="33"/>
      <x:c r="F155" s="34"/>
      <x:c r="G155" s="33"/>
      <x:c r="H155" s="32"/>
      <x:c r="I155" s="33"/>
      <x:c r="J155" s="33"/>
    </x:row>
    <x:row r="156">
      <x:c r="A156" s="87"/>
      <x:c r="B156" s="91"/>
      <x:c r="C156" s="32"/>
      <x:c r="D156" s="33"/>
      <x:c r="E156" s="33"/>
      <x:c r="F156" s="34"/>
      <x:c r="G156" s="33"/>
      <x:c r="H156" s="32"/>
      <x:c r="I156" s="33"/>
      <x:c r="J156" s="33"/>
    </x:row>
    <x:row r="157">
      <x:c r="A157" s="87"/>
      <x:c r="B157" s="91"/>
      <x:c r="C157" s="32"/>
      <x:c r="D157" s="33"/>
      <x:c r="E157" s="33"/>
      <x:c r="F157" s="34"/>
      <x:c r="G157" s="33"/>
      <x:c r="H157" s="32"/>
      <x:c r="I157" s="33"/>
      <x:c r="J157" s="33"/>
    </x:row>
    <x:row r="158">
      <x:c r="A158" s="87"/>
      <x:c r="B158" s="91"/>
      <x:c r="C158" s="32"/>
      <x:c r="D158" s="33"/>
      <x:c r="E158" s="33"/>
      <x:c r="F158" s="34"/>
      <x:c r="G158" s="33"/>
      <x:c r="H158" s="32"/>
      <x:c r="I158" s="33"/>
      <x:c r="J158" s="33"/>
    </x:row>
    <x:row r="159">
      <x:c r="A159" s="87"/>
      <x:c r="B159" s="91"/>
      <x:c r="C159" s="32"/>
      <x:c r="D159" s="33"/>
      <x:c r="E159" s="33"/>
      <x:c r="F159" s="34"/>
      <x:c r="G159" s="33"/>
      <x:c r="H159" s="32"/>
      <x:c r="I159" s="33"/>
      <x:c r="J159" s="33"/>
    </x:row>
    <x:row r="160">
      <x:c r="A160" s="87"/>
      <x:c r="B160" s="91"/>
      <x:c r="C160" s="32"/>
      <x:c r="D160" s="33"/>
      <x:c r="E160" s="33"/>
      <x:c r="F160" s="34"/>
      <x:c r="G160" s="33"/>
      <x:c r="H160" s="32"/>
      <x:c r="I160" s="33"/>
      <x:c r="J160" s="33"/>
    </x:row>
    <x:row r="161">
      <x:c r="A161" s="87"/>
      <x:c r="B161" s="91"/>
      <x:c r="C161" s="32"/>
      <x:c r="D161" s="33"/>
      <x:c r="E161" s="33"/>
      <x:c r="F161" s="34"/>
      <x:c r="G161" s="33"/>
      <x:c r="H161" s="32"/>
      <x:c r="I161" s="33"/>
      <x:c r="J161" s="33"/>
    </x:row>
    <x:row r="162">
      <x:c r="A162" s="87"/>
      <x:c r="B162" s="91"/>
      <x:c r="C162" s="32"/>
      <x:c r="D162" s="33"/>
      <x:c r="E162" s="33"/>
      <x:c r="F162" s="34"/>
      <x:c r="G162" s="33"/>
      <x:c r="H162" s="32"/>
      <x:c r="I162" s="33"/>
      <x:c r="J162" s="33"/>
    </x:row>
    <x:row r="163">
      <x:c r="A163" s="87"/>
      <x:c r="B163" s="91"/>
      <x:c r="C163" s="32"/>
      <x:c r="D163" s="33"/>
      <x:c r="E163" s="33"/>
      <x:c r="F163" s="34"/>
      <x:c r="G163" s="33"/>
      <x:c r="H163" s="32"/>
      <x:c r="I163" s="33"/>
      <x:c r="J163" s="33"/>
    </x:row>
    <x:row r="164">
      <x:c r="A164" s="87"/>
      <x:c r="B164" s="91"/>
      <x:c r="C164" s="32"/>
      <x:c r="D164" s="33"/>
      <x:c r="E164" s="33"/>
      <x:c r="F164" s="34"/>
      <x:c r="G164" s="33"/>
      <x:c r="H164" s="32"/>
      <x:c r="I164" s="33"/>
      <x:c r="J164" s="33"/>
    </x:row>
    <x:row r="165">
      <x:c r="A165" s="87"/>
      <x:c r="B165" s="91"/>
      <x:c r="C165" s="32"/>
      <x:c r="D165" s="33"/>
      <x:c r="E165" s="33"/>
      <x:c r="F165" s="34"/>
      <x:c r="G165" s="33"/>
      <x:c r="H165" s="32"/>
      <x:c r="I165" s="33"/>
      <x:c r="J165" s="33"/>
    </x:row>
    <x:row r="166">
      <x:c r="A166" s="87"/>
      <x:c r="B166" s="91"/>
      <x:c r="C166" s="32"/>
      <x:c r="D166" s="33"/>
      <x:c r="E166" s="33"/>
      <x:c r="F166" s="34"/>
      <x:c r="G166" s="33"/>
      <x:c r="H166" s="32"/>
      <x:c r="I166" s="33"/>
      <x:c r="J166" s="33"/>
    </x:row>
    <x:row r="167">
      <x:c r="A167" s="87"/>
      <x:c r="B167" s="91"/>
      <x:c r="C167" s="32"/>
      <x:c r="D167" s="33"/>
      <x:c r="E167" s="33"/>
      <x:c r="F167" s="34"/>
      <x:c r="G167" s="33"/>
      <x:c r="H167" s="32"/>
      <x:c r="I167" s="33"/>
      <x:c r="J167" s="33"/>
    </x:row>
    <x:row r="168">
      <x:c r="A168" s="87"/>
      <x:c r="B168" s="91"/>
      <x:c r="C168" s="32"/>
      <x:c r="D168" s="33"/>
      <x:c r="E168" s="33"/>
      <x:c r="F168" s="34"/>
      <x:c r="G168" s="33"/>
      <x:c r="H168" s="32"/>
      <x:c r="I168" s="33"/>
      <x:c r="J168" s="33"/>
    </x:row>
    <x:row r="169">
      <x:c r="A169" s="87"/>
      <x:c r="B169" s="91"/>
      <x:c r="C169" s="32"/>
      <x:c r="D169" s="33"/>
      <x:c r="E169" s="33"/>
      <x:c r="F169" s="34"/>
      <x:c r="G169" s="33"/>
      <x:c r="H169" s="32"/>
      <x:c r="I169" s="33"/>
      <x:c r="J169" s="33"/>
    </x:row>
    <x:row r="170">
      <x:c r="A170" s="87"/>
      <x:c r="B170" s="91"/>
      <x:c r="C170" s="32"/>
      <x:c r="D170" s="33"/>
      <x:c r="E170" s="33"/>
      <x:c r="F170" s="34"/>
      <x:c r="G170" s="33"/>
      <x:c r="H170" s="32"/>
      <x:c r="I170" s="33"/>
      <x:c r="J170" s="33"/>
    </x:row>
    <x:row r="171">
      <x:c r="A171" s="87"/>
      <x:c r="B171" s="91"/>
      <x:c r="C171" s="32"/>
      <x:c r="D171" s="33"/>
      <x:c r="E171" s="33"/>
      <x:c r="F171" s="34"/>
      <x:c r="G171" s="33"/>
      <x:c r="H171" s="32"/>
      <x:c r="I171" s="33"/>
      <x:c r="J171" s="33"/>
    </x:row>
    <x:row r="172">
      <x:c r="A172" s="87"/>
      <x:c r="B172" s="91"/>
      <x:c r="C172" s="32"/>
      <x:c r="D172" s="33"/>
      <x:c r="E172" s="33"/>
      <x:c r="F172" s="34"/>
      <x:c r="G172" s="33"/>
      <x:c r="H172" s="32"/>
      <x:c r="I172" s="33"/>
      <x:c r="J172" s="33"/>
    </x:row>
    <x:row r="173">
      <x:c r="A173" s="87"/>
      <x:c r="B173" s="91"/>
      <x:c r="C173" s="32"/>
      <x:c r="D173" s="33"/>
      <x:c r="E173" s="33"/>
      <x:c r="F173" s="34"/>
      <x:c r="G173" s="33"/>
      <x:c r="H173" s="32"/>
      <x:c r="I173" s="33"/>
      <x:c r="J173" s="33"/>
    </x:row>
    <x:row r="174">
      <x:c r="A174" s="87"/>
      <x:c r="B174" s="91"/>
      <x:c r="C174" s="32"/>
      <x:c r="D174" s="33"/>
      <x:c r="E174" s="33"/>
      <x:c r="F174" s="34"/>
      <x:c r="G174" s="33"/>
      <x:c r="H174" s="32"/>
      <x:c r="I174" s="33"/>
      <x:c r="J174" s="33"/>
    </x:row>
    <x:row r="175">
      <x:c r="A175" s="87"/>
      <x:c r="B175" s="91"/>
      <x:c r="C175" s="32"/>
      <x:c r="D175" s="33"/>
      <x:c r="E175" s="33"/>
      <x:c r="F175" s="34"/>
      <x:c r="G175" s="33"/>
      <x:c r="H175" s="32"/>
      <x:c r="I175" s="33"/>
      <x:c r="J175" s="33"/>
    </x:row>
    <x:row r="176">
      <x:c r="A176" s="87"/>
      <x:c r="B176" s="91"/>
      <x:c r="C176" s="32"/>
      <x:c r="D176" s="33"/>
      <x:c r="E176" s="33"/>
      <x:c r="F176" s="34"/>
      <x:c r="G176" s="33"/>
      <x:c r="H176" s="32"/>
      <x:c r="I176" s="33"/>
      <x:c r="J176" s="33"/>
    </x:row>
    <x:row r="177">
      <x:c r="A177" s="87"/>
      <x:c r="B177" s="91"/>
      <x:c r="C177" s="32"/>
      <x:c r="D177" s="33"/>
      <x:c r="E177" s="33"/>
      <x:c r="F177" s="34"/>
      <x:c r="G177" s="33"/>
      <x:c r="H177" s="32"/>
      <x:c r="I177" s="33"/>
      <x:c r="J177" s="33"/>
    </x:row>
    <x:row r="178">
      <x:c r="A178" s="87"/>
      <x:c r="B178" s="91"/>
      <x:c r="C178" s="32"/>
      <x:c r="D178" s="33"/>
      <x:c r="E178" s="33"/>
      <x:c r="F178" s="34"/>
      <x:c r="G178" s="33"/>
      <x:c r="H178" s="32"/>
      <x:c r="I178" s="33"/>
      <x:c r="J178" s="33"/>
    </x:row>
    <x:row r="179">
      <x:c r="A179" s="87"/>
      <x:c r="B179" s="91"/>
      <x:c r="C179" s="32"/>
      <x:c r="D179" s="33"/>
      <x:c r="E179" s="33"/>
      <x:c r="F179" s="34"/>
      <x:c r="G179" s="33"/>
      <x:c r="H179" s="32"/>
      <x:c r="I179" s="33"/>
      <x:c r="J179" s="33"/>
    </x:row>
    <x:row r="180">
      <x:c r="A180" s="87"/>
      <x:c r="B180" s="91"/>
      <x:c r="C180" s="32"/>
      <x:c r="D180" s="33"/>
      <x:c r="E180" s="33"/>
      <x:c r="F180" s="34"/>
      <x:c r="G180" s="33"/>
      <x:c r="H180" s="32"/>
      <x:c r="I180" s="33"/>
      <x:c r="J180" s="33"/>
    </x:row>
    <x:row r="181">
      <x:c r="A181" s="87"/>
      <x:c r="B181" s="91"/>
      <x:c r="C181" s="32"/>
      <x:c r="D181" s="33"/>
      <x:c r="E181" s="33"/>
      <x:c r="F181" s="34"/>
      <x:c r="G181" s="33"/>
      <x:c r="H181" s="32"/>
      <x:c r="I181" s="33"/>
      <x:c r="J181" s="33"/>
    </x:row>
    <x:row r="182">
      <x:c r="A182" s="87"/>
      <x:c r="B182" s="91"/>
      <x:c r="C182" s="32"/>
      <x:c r="D182" s="33"/>
      <x:c r="E182" s="33"/>
      <x:c r="F182" s="34"/>
      <x:c r="G182" s="33"/>
      <x:c r="H182" s="32"/>
      <x:c r="I182" s="33"/>
      <x:c r="J182" s="33"/>
    </x:row>
    <x:row r="183">
      <x:c r="A183" s="87"/>
      <x:c r="B183" s="91"/>
      <x:c r="C183" s="32"/>
      <x:c r="D183" s="33"/>
      <x:c r="E183" s="33"/>
      <x:c r="F183" s="34"/>
      <x:c r="G183" s="33"/>
      <x:c r="H183" s="32"/>
      <x:c r="I183" s="33"/>
      <x:c r="J183" s="33"/>
    </x:row>
    <x:row r="184">
      <x:c r="A184" s="87"/>
      <x:c r="B184" s="91"/>
      <x:c r="C184" s="32"/>
      <x:c r="D184" s="33"/>
      <x:c r="E184" s="33"/>
      <x:c r="F184" s="34"/>
      <x:c r="G184" s="33"/>
      <x:c r="H184" s="32"/>
      <x:c r="I184" s="33"/>
      <x:c r="J184" s="33"/>
    </x:row>
    <x:row r="185">
      <x:c r="A185" s="87"/>
      <x:c r="B185" s="91"/>
      <x:c r="C185" s="32"/>
      <x:c r="D185" s="33"/>
      <x:c r="E185" s="33"/>
      <x:c r="F185" s="34"/>
      <x:c r="G185" s="33"/>
      <x:c r="H185" s="32"/>
      <x:c r="I185" s="33"/>
      <x:c r="J185" s="33"/>
    </x:row>
    <x:row r="186">
      <x:c r="A186" s="87"/>
      <x:c r="B186" s="91"/>
      <x:c r="C186" s="32"/>
      <x:c r="D186" s="33"/>
      <x:c r="E186" s="33"/>
      <x:c r="F186" s="34"/>
      <x:c r="G186" s="33"/>
      <x:c r="H186" s="32"/>
      <x:c r="I186" s="33"/>
      <x:c r="J186" s="33"/>
    </x:row>
    <x:row r="187">
      <x:c r="A187" s="87"/>
      <x:c r="B187" s="91"/>
      <x:c r="C187" s="32"/>
      <x:c r="D187" s="33"/>
      <x:c r="E187" s="33"/>
      <x:c r="F187" s="34"/>
      <x:c r="G187" s="33"/>
      <x:c r="H187" s="32"/>
      <x:c r="I187" s="33"/>
      <x:c r="J187" s="33"/>
    </x:row>
    <x:row r="188">
      <x:c r="A188" s="87"/>
      <x:c r="B188" s="91"/>
      <x:c r="C188" s="32"/>
      <x:c r="D188" s="33"/>
      <x:c r="E188" s="33"/>
      <x:c r="F188" s="34"/>
      <x:c r="G188" s="33"/>
      <x:c r="H188" s="32"/>
      <x:c r="I188" s="33"/>
      <x:c r="J188" s="33"/>
    </x:row>
    <x:row r="189">
      <x:c r="A189" s="87"/>
      <x:c r="B189" s="91"/>
      <x:c r="C189" s="32"/>
      <x:c r="D189" s="33"/>
      <x:c r="E189" s="33"/>
      <x:c r="F189" s="34"/>
      <x:c r="G189" s="33"/>
      <x:c r="H189" s="32"/>
      <x:c r="I189" s="33"/>
      <x:c r="J189" s="33"/>
    </x:row>
    <x:row r="190">
      <x:c r="A190" s="87"/>
      <x:c r="B190" s="91"/>
      <x:c r="C190" s="32"/>
      <x:c r="D190" s="33"/>
      <x:c r="E190" s="33"/>
      <x:c r="F190" s="34"/>
      <x:c r="G190" s="33"/>
      <x:c r="H190" s="32"/>
      <x:c r="I190" s="33"/>
      <x:c r="J190" s="33"/>
    </x:row>
    <x:row r="191">
      <x:c r="A191" s="87"/>
      <x:c r="B191" s="91"/>
      <x:c r="C191" s="32"/>
      <x:c r="D191" s="33"/>
      <x:c r="E191" s="33"/>
      <x:c r="F191" s="34"/>
      <x:c r="G191" s="33"/>
      <x:c r="H191" s="32"/>
      <x:c r="I191" s="33"/>
      <x:c r="J191" s="33"/>
    </x:row>
    <x:row r="192">
      <x:c r="A192" s="87"/>
      <x:c r="B192" s="91"/>
      <x:c r="C192" s="32"/>
      <x:c r="D192" s="33"/>
      <x:c r="E192" s="33"/>
      <x:c r="F192" s="34"/>
      <x:c r="G192" s="33"/>
      <x:c r="H192" s="32"/>
      <x:c r="I192" s="33"/>
      <x:c r="J192" s="33"/>
    </x:row>
    <x:row r="193">
      <x:c r="A193" s="87"/>
      <x:c r="B193" s="91"/>
      <x:c r="C193" s="32"/>
      <x:c r="D193" s="33"/>
      <x:c r="E193" s="33"/>
      <x:c r="F193" s="34"/>
      <x:c r="G193" s="33"/>
      <x:c r="H193" s="32"/>
      <x:c r="I193" s="33"/>
      <x:c r="J193" s="33"/>
    </x:row>
    <x:row r="194">
      <x:c r="A194" s="87"/>
      <x:c r="B194" s="91"/>
      <x:c r="C194" s="32"/>
      <x:c r="D194" s="33"/>
      <x:c r="E194" s="33"/>
      <x:c r="F194" s="34"/>
      <x:c r="G194" s="33"/>
      <x:c r="H194" s="32"/>
      <x:c r="I194" s="33"/>
      <x:c r="J194" s="33"/>
    </x:row>
    <x:row r="195">
      <x:c r="A195" s="87"/>
      <x:c r="B195" s="91"/>
      <x:c r="C195" s="32"/>
      <x:c r="D195" s="33"/>
      <x:c r="E195" s="33"/>
      <x:c r="F195" s="34"/>
      <x:c r="G195" s="33"/>
      <x:c r="H195" s="32"/>
      <x:c r="I195" s="33"/>
      <x:c r="J195" s="33"/>
    </x:row>
    <x:row r="196">
      <x:c r="A196" s="87"/>
      <x:c r="B196" s="91"/>
      <x:c r="C196" s="32"/>
      <x:c r="D196" s="33"/>
      <x:c r="E196" s="33"/>
      <x:c r="F196" s="34"/>
      <x:c r="G196" s="33"/>
      <x:c r="H196" s="32"/>
      <x:c r="I196" s="33"/>
      <x:c r="J196" s="33"/>
    </x:row>
    <x:row r="197">
      <x:c r="A197" s="87"/>
      <x:c r="B197" s="91"/>
      <x:c r="C197" s="32"/>
      <x:c r="D197" s="33"/>
      <x:c r="E197" s="33"/>
      <x:c r="F197" s="34"/>
      <x:c r="G197" s="33"/>
      <x:c r="H197" s="32"/>
      <x:c r="I197" s="33"/>
      <x:c r="J197" s="33"/>
    </x:row>
    <x:row r="198">
      <x:c r="A198" s="88"/>
      <x:c r="B198" s="92"/>
      <x:c r="F198" s="9"/>
    </x:row>
    <x:row r="199">
      <x:c r="A199" s="88"/>
      <x:c r="B199" s="92"/>
      <x:c r="F199" s="9"/>
    </x:row>
    <x:row r="200">
      <x:c r="A200" s="88"/>
      <x:c r="B200" s="92"/>
      <x:c r="F200" s="9"/>
    </x:row>
    <x:row r="201">
      <x:c r="A201" s="88"/>
      <x:c r="B201" s="92"/>
      <x:c r="F201" s="9"/>
    </x:row>
    <x:row r="202">
      <x:c r="A202" s="88"/>
      <x:c r="B202" s="92"/>
      <x:c r="F202" s="9"/>
    </x:row>
    <x:row r="203">
      <x:c r="A203" s="88"/>
      <x:c r="B203" s="92"/>
      <x:c r="F203" s="9"/>
    </x:row>
    <x:row r="204">
      <x:c r="A204" s="88"/>
      <x:c r="B204" s="92"/>
      <x:c r="F204" s="9"/>
    </x:row>
    <x:row r="205">
      <x:c r="A205" s="88"/>
      <x:c r="B205" s="92"/>
      <x:c r="F205" s="9"/>
    </x:row>
    <x:row r="206">
      <x:c r="A206" s="88"/>
      <x:c r="B206" s="92"/>
      <x:c r="F206" s="9"/>
    </x:row>
    <x:row r="207">
      <x:c r="A207" s="88"/>
      <x:c r="B207" s="92"/>
      <x:c r="F207" s="9"/>
    </x:row>
    <x:row r="208">
      <x:c r="A208" s="88"/>
      <x:c r="B208" s="92"/>
      <x:c r="F208" s="9"/>
    </x:row>
    <x:row r="209">
      <x:c r="A209" s="88"/>
      <x:c r="B209" s="92"/>
      <x:c r="F209" s="9"/>
    </x:row>
    <x:row r="210">
      <x:c r="A210" s="88"/>
      <x:c r="B210" s="92"/>
      <x:c r="F210" s="9"/>
    </x:row>
    <x:row r="211">
      <x:c r="A211" s="88"/>
      <x:c r="B211" s="92"/>
      <x:c r="F211" s="9"/>
    </x:row>
    <x:row r="212">
      <x:c r="A212" s="88"/>
      <x:c r="B212" s="92"/>
      <x:c r="F212" s="9"/>
    </x:row>
    <x:row r="213">
      <x:c r="A213" s="88"/>
      <x:c r="B213" s="92"/>
      <x:c r="F213" s="9"/>
    </x:row>
    <x:row r="214">
      <x:c r="A214" s="88"/>
      <x:c r="B214" s="92"/>
      <x:c r="F214" s="9"/>
    </x:row>
    <x:row r="215">
      <x:c r="A215" s="88"/>
      <x:c r="B215" s="92"/>
      <x:c r="F215" s="9"/>
    </x:row>
    <x:row r="216">
      <x:c r="A216" s="88"/>
      <x:c r="B216" s="92"/>
      <x:c r="F216" s="9"/>
    </x:row>
    <x:row r="217">
      <x:c r="A217" s="88"/>
      <x:c r="B217" s="92"/>
      <x:c r="F217" s="9"/>
    </x:row>
    <x:row r="218">
      <x:c r="A218" s="88"/>
      <x:c r="B218" s="92"/>
      <x:c r="F218" s="9"/>
    </x:row>
    <x:row r="219">
      <x:c r="A219" s="88"/>
      <x:c r="B219" s="92"/>
      <x:c r="F219" s="9"/>
    </x:row>
    <x:row r="220">
      <x:c r="A220" s="88"/>
      <x:c r="B220" s="92"/>
      <x:c r="F220" s="9"/>
    </x:row>
    <x:row r="221">
      <x:c r="A221" s="88"/>
      <x:c r="B221" s="92"/>
      <x:c r="F221" s="9"/>
    </x:row>
    <x:row r="222">
      <x:c r="A222" s="88"/>
      <x:c r="B222" s="92"/>
      <x:c r="F222" s="9"/>
    </x:row>
    <x:row r="223">
      <x:c r="A223" s="88"/>
      <x:c r="B223" s="92"/>
      <x:c r="F223" s="9"/>
    </x:row>
    <x:row r="224">
      <x:c r="A224" s="88"/>
      <x:c r="B224" s="92"/>
      <x:c r="F224" s="9"/>
    </x:row>
    <x:row r="225">
      <x:c r="A225" s="88"/>
      <x:c r="B225" s="92"/>
      <x:c r="F225" s="9"/>
    </x:row>
    <x:row r="226">
      <x:c r="A226" s="88"/>
      <x:c r="B226" s="92"/>
      <x:c r="F226" s="9"/>
    </x:row>
    <x:row r="227">
      <x:c r="A227" s="88"/>
      <x:c r="B227" s="92"/>
      <x:c r="F227" s="9"/>
    </x:row>
    <x:row r="228">
      <x:c r="A228" s="88"/>
      <x:c r="B228" s="92"/>
      <x:c r="F228" s="9"/>
    </x:row>
    <x:row r="229">
      <x:c r="A229" s="88"/>
      <x:c r="B229" s="92"/>
      <x:c r="F229" s="9"/>
    </x:row>
    <x:row r="230">
      <x:c r="A230" s="88"/>
      <x:c r="B230" s="92"/>
      <x:c r="F230" s="9"/>
    </x:row>
    <x:row r="231">
      <x:c r="A231" s="88"/>
      <x:c r="B231" s="92"/>
      <x:c r="F231" s="9"/>
    </x:row>
    <x:row r="232">
      <x:c r="A232" s="88"/>
      <x:c r="B232" s="92"/>
      <x:c r="F232" s="9"/>
    </x:row>
    <x:row r="233">
      <x:c r="A233" s="88"/>
      <x:c r="B233" s="92"/>
      <x:c r="F233" s="9"/>
    </x:row>
    <x:row r="234">
      <x:c r="A234" s="88"/>
      <x:c r="B234" s="92"/>
      <x:c r="F234" s="9"/>
    </x:row>
    <x:row r="235">
      <x:c r="A235" s="88"/>
      <x:c r="B235" s="92"/>
      <x:c r="F235" s="9"/>
    </x:row>
    <x:row r="236">
      <x:c r="A236" s="88"/>
      <x:c r="B236" s="92"/>
      <x:c r="F236" s="9"/>
    </x:row>
    <x:row r="237">
      <x:c r="A237" s="88"/>
      <x:c r="B237" s="92"/>
      <x:c r="F237" s="9"/>
    </x:row>
    <x:row r="238">
      <x:c r="A238" s="88"/>
      <x:c r="B238" s="92"/>
      <x:c r="F238" s="9"/>
    </x:row>
    <x:row r="239">
      <x:c r="A239" s="88"/>
      <x:c r="B239" s="92"/>
      <x:c r="F239" s="9"/>
    </x:row>
    <x:row r="240">
      <x:c r="A240" s="88"/>
      <x:c r="B240" s="92"/>
      <x:c r="F240" s="9"/>
    </x:row>
    <x:row r="241">
      <x:c r="A241" s="88"/>
      <x:c r="B241" s="92"/>
      <x:c r="F241" s="9"/>
    </x:row>
    <x:row r="242">
      <x:c r="A242" s="88"/>
      <x:c r="B242" s="92"/>
      <x:c r="F242" s="9"/>
    </x:row>
    <x:row r="243">
      <x:c r="A243" s="88"/>
      <x:c r="B243" s="92"/>
      <x:c r="F243" s="9"/>
    </x:row>
    <x:row r="244">
      <x:c r="A244" s="88"/>
      <x:c r="B244" s="92"/>
      <x:c r="F244" s="9"/>
    </x:row>
    <x:row r="245">
      <x:c r="A245" s="88"/>
      <x:c r="B245" s="92"/>
      <x:c r="F245" s="9"/>
    </x:row>
    <x:row r="246">
      <x:c r="A246" s="88"/>
      <x:c r="B246" s="92"/>
      <x:c r="F246" s="9"/>
    </x:row>
    <x:row r="247">
      <x:c r="A247" s="88"/>
      <x:c r="B247" s="92"/>
      <x:c r="F247" s="9"/>
    </x:row>
    <x:row r="248">
      <x:c r="A248" s="88"/>
      <x:c r="B248" s="92"/>
      <x:c r="F248" s="9"/>
    </x:row>
    <x:row r="249">
      <x:c r="A249" s="88"/>
      <x:c r="B249" s="92"/>
      <x:c r="F249" s="9"/>
    </x:row>
    <x:row r="250">
      <x:c r="A250" s="88"/>
      <x:c r="B250" s="92"/>
      <x:c r="F250" s="9"/>
    </x:row>
    <x:row r="251">
      <x:c r="A251" s="88"/>
      <x:c r="B251" s="92"/>
      <x:c r="F251" s="9"/>
    </x:row>
    <x:row r="252">
      <x:c r="A252" s="88"/>
      <x:c r="B252" s="92"/>
      <x:c r="F252" s="9"/>
    </x:row>
    <x:row r="253">
      <x:c r="A253" s="88"/>
      <x:c r="B253" s="92"/>
      <x:c r="F253" s="9"/>
    </x:row>
    <x:row r="254">
      <x:c r="A254" s="88"/>
      <x:c r="B254" s="92"/>
      <x:c r="F254" s="9"/>
    </x:row>
    <x:row r="255">
      <x:c r="A255" s="88"/>
      <x:c r="B255" s="92"/>
      <x:c r="F255" s="9"/>
    </x:row>
    <x:row r="256">
      <x:c r="A256" s="88"/>
      <x:c r="B256" s="92"/>
      <x:c r="F256" s="9"/>
    </x:row>
    <x:row r="257">
      <x:c r="A257" s="88"/>
      <x:c r="B257" s="92"/>
      <x:c r="F257" s="9"/>
    </x:row>
    <x:row r="258">
      <x:c r="A258" s="88"/>
      <x:c r="B258" s="92"/>
      <x:c r="F258" s="9"/>
    </x:row>
    <x:row r="259">
      <x:c r="A259" s="88"/>
      <x:c r="B259" s="92"/>
      <x:c r="F259" s="9"/>
    </x:row>
    <x:row r="260">
      <x:c r="A260" s="88"/>
      <x:c r="B260" s="92"/>
      <x:c r="F260" s="9"/>
    </x:row>
    <x:row r="261">
      <x:c r="A261" s="88"/>
      <x:c r="B261" s="92"/>
      <x:c r="F261" s="9"/>
    </x:row>
    <x:row r="262">
      <x:c r="A262" s="88"/>
      <x:c r="B262" s="92"/>
      <x:c r="F262" s="9"/>
    </x:row>
    <x:row r="263">
      <x:c r="A263" s="88"/>
      <x:c r="B263" s="92"/>
      <x:c r="F263" s="9"/>
    </x:row>
    <x:row r="264">
      <x:c r="A264" s="88"/>
      <x:c r="B264" s="92"/>
      <x:c r="F264" s="9"/>
    </x:row>
    <x:row r="265">
      <x:c r="A265" s="88"/>
      <x:c r="B265" s="92"/>
      <x:c r="F265" s="9"/>
    </x:row>
    <x:row r="266">
      <x:c r="A266" s="88"/>
      <x:c r="B266" s="92"/>
      <x:c r="F266" s="9"/>
    </x:row>
    <x:row r="267">
      <x:c r="A267" s="88"/>
      <x:c r="B267" s="92"/>
      <x:c r="F267" s="9"/>
    </x:row>
    <x:row r="268">
      <x:c r="A268" s="88"/>
      <x:c r="B268" s="92"/>
      <x:c r="F268" s="9"/>
    </x:row>
    <x:row r="269">
      <x:c r="A269" s="88"/>
      <x:c r="B269" s="92"/>
      <x:c r="F269" s="9"/>
    </x:row>
    <x:row r="270">
      <x:c r="A270" s="88"/>
      <x:c r="B270" s="92"/>
      <x:c r="F270" s="9"/>
    </x:row>
    <x:row r="271">
      <x:c r="A271" s="88"/>
      <x:c r="B271" s="92"/>
      <x:c r="F271" s="9"/>
    </x:row>
    <x:row r="272">
      <x:c r="A272" s="88"/>
      <x:c r="B272" s="92"/>
      <x:c r="F272" s="9"/>
    </x:row>
    <x:row r="273">
      <x:c r="A273" s="88"/>
      <x:c r="B273" s="92"/>
      <x:c r="F273" s="9"/>
    </x:row>
    <x:row r="274">
      <x:c r="A274" s="88"/>
      <x:c r="B274" s="92"/>
      <x:c r="F274" s="9"/>
    </x:row>
    <x:row r="275">
      <x:c r="A275" s="88"/>
      <x:c r="B275" s="92"/>
      <x:c r="F275" s="9"/>
    </x:row>
    <x:row r="276">
      <x:c r="A276" s="88"/>
      <x:c r="B276" s="92"/>
      <x:c r="F276" s="9"/>
    </x:row>
    <x:row r="277">
      <x:c r="A277" s="88"/>
      <x:c r="B277" s="92"/>
      <x:c r="F277" s="9"/>
    </x:row>
    <x:row r="278">
      <x:c r="A278" s="88"/>
      <x:c r="B278" s="92"/>
      <x:c r="F278" s="9"/>
    </x:row>
    <x:row r="279">
      <x:c r="A279" s="88"/>
      <x:c r="B279" s="92"/>
      <x:c r="F279" s="9"/>
    </x:row>
    <x:row r="280">
      <x:c r="A280" s="88"/>
      <x:c r="B280" s="92"/>
      <x:c r="F280" s="9"/>
    </x:row>
    <x:row r="281">
      <x:c r="A281" s="88"/>
      <x:c r="B281" s="92"/>
      <x:c r="F281" s="9"/>
    </x:row>
    <x:row r="282">
      <x:c r="A282" s="88"/>
      <x:c r="B282" s="92"/>
      <x:c r="F282" s="9"/>
    </x:row>
    <x:row r="283">
      <x:c r="A283" s="88"/>
      <x:c r="B283" s="92"/>
      <x:c r="F283" s="9"/>
    </x:row>
    <x:row r="284">
      <x:c r="A284" s="88"/>
      <x:c r="B284" s="92"/>
      <x:c r="F284" s="9"/>
    </x:row>
    <x:row r="285">
      <x:c r="A285" s="88"/>
      <x:c r="B285" s="92"/>
      <x:c r="F285" s="9"/>
    </x:row>
    <x:row r="286">
      <x:c r="A286" s="88"/>
      <x:c r="B286" s="92"/>
      <x:c r="F286" s="9"/>
    </x:row>
    <x:row r="287">
      <x:c r="A287" s="88"/>
      <x:c r="B287" s="92"/>
      <x:c r="F287" s="9"/>
    </x:row>
    <x:row r="288">
      <x:c r="A288" s="88"/>
      <x:c r="B288" s="92"/>
      <x:c r="F288" s="9"/>
    </x:row>
    <x:row r="289">
      <x:c r="A289" s="88"/>
      <x:c r="B289" s="92"/>
      <x:c r="F289" s="9"/>
    </x:row>
    <x:row r="290">
      <x:c r="A290" s="88"/>
      <x:c r="B290" s="92"/>
      <x:c r="F290" s="9"/>
    </x:row>
    <x:row r="291">
      <x:c r="A291" s="88"/>
      <x:c r="B291" s="92"/>
      <x:c r="F291" s="9"/>
    </x:row>
    <x:row r="292">
      <x:c r="A292" s="88"/>
      <x:c r="B292" s="92"/>
      <x:c r="F292" s="9"/>
    </x:row>
    <x:row r="293">
      <x:c r="A293" s="88"/>
      <x:c r="B293" s="92"/>
      <x:c r="F293" s="9"/>
    </x:row>
    <x:row r="294">
      <x:c r="A294" s="88"/>
      <x:c r="B294" s="92"/>
      <x:c r="F294" s="9"/>
    </x:row>
    <x:row r="295">
      <x:c r="A295" s="88"/>
      <x:c r="B295" s="92"/>
      <x:c r="F295" s="9"/>
    </x:row>
    <x:row r="296">
      <x:c r="A296" s="88"/>
      <x:c r="B296" s="92"/>
      <x:c r="F296" s="9"/>
    </x:row>
    <x:row r="297">
      <x:c r="A297" s="88"/>
      <x:c r="B297" s="92"/>
      <x:c r="F297" s="9"/>
    </x:row>
    <x:row r="298">
      <x:c r="A298" s="88"/>
      <x:c r="B298" s="92"/>
      <x:c r="F298" s="9"/>
    </x:row>
    <x:row r="299">
      <x:c r="A299" s="88"/>
      <x:c r="B299" s="92"/>
      <x:c r="F299" s="9"/>
    </x:row>
    <x:row r="300">
      <x:c r="A300" s="88"/>
      <x:c r="B300" s="92"/>
      <x:c r="F300" s="9"/>
    </x:row>
    <x:row r="301">
      <x:c r="A301" s="88"/>
      <x:c r="B301" s="92"/>
      <x:c r="F301" s="9"/>
    </x:row>
    <x:row r="302">
      <x:c r="A302" s="88"/>
      <x:c r="B302" s="92"/>
      <x:c r="F302" s="9"/>
    </x:row>
    <x:row r="303">
      <x:c r="A303" s="88"/>
      <x:c r="B303" s="92"/>
      <x:c r="F303" s="9"/>
    </x:row>
    <x:row r="304">
      <x:c r="A304" s="88"/>
      <x:c r="B304" s="92"/>
      <x:c r="F304" s="9"/>
    </x:row>
    <x:row r="305">
      <x:c r="A305" s="88"/>
      <x:c r="B305" s="92"/>
      <x:c r="F305" s="9"/>
    </x:row>
    <x:row r="306">
      <x:c r="A306" s="88"/>
      <x:c r="B306" s="92"/>
      <x:c r="F306" s="9"/>
    </x:row>
    <x:row r="307">
      <x:c r="A307" s="88"/>
      <x:c r="B307" s="92"/>
      <x:c r="F307" s="9"/>
    </x:row>
    <x:row r="308">
      <x:c r="A308" s="88"/>
      <x:c r="B308" s="92"/>
      <x:c r="F308" s="9"/>
    </x:row>
    <x:row r="309">
      <x:c r="A309" s="88"/>
      <x:c r="B309" s="92"/>
      <x:c r="F309" s="9"/>
    </x:row>
    <x:row r="310">
      <x:c r="A310" s="88"/>
      <x:c r="B310" s="92"/>
      <x:c r="F310" s="9"/>
    </x:row>
    <x:row r="311">
      <x:c r="A311" s="88"/>
      <x:c r="B311" s="92"/>
      <x:c r="F311" s="9"/>
    </x:row>
    <x:row r="312">
      <x:c r="A312" s="88"/>
      <x:c r="B312" s="92"/>
      <x:c r="F312" s="9"/>
    </x:row>
    <x:row r="313">
      <x:c r="A313" s="88"/>
      <x:c r="B313" s="92"/>
      <x:c r="F313" s="9"/>
    </x:row>
    <x:row r="314">
      <x:c r="A314" s="88"/>
      <x:c r="B314" s="92"/>
      <x:c r="F314" s="9"/>
    </x:row>
    <x:row r="315">
      <x:c r="A315" s="88"/>
      <x:c r="B315" s="92"/>
      <x:c r="F315" s="9"/>
    </x:row>
    <x:row r="316">
      <x:c r="A316" s="88"/>
      <x:c r="B316" s="92"/>
      <x:c r="F316" s="9"/>
    </x:row>
    <x:row r="317">
      <x:c r="A317" s="88"/>
      <x:c r="B317" s="92"/>
      <x:c r="F317" s="9"/>
    </x:row>
    <x:row r="318">
      <x:c r="A318" s="88"/>
      <x:c r="B318" s="92"/>
      <x:c r="F318" s="9"/>
    </x:row>
    <x:row r="319">
      <x:c r="A319" s="88"/>
      <x:c r="B319" s="92"/>
      <x:c r="F319" s="9"/>
    </x:row>
    <x:row r="320">
      <x:c r="A320" s="88"/>
      <x:c r="B320" s="92"/>
      <x:c r="F320" s="9"/>
    </x:row>
    <x:row r="321">
      <x:c r="A321" s="88"/>
      <x:c r="B321" s="92"/>
      <x:c r="F321" s="9"/>
    </x:row>
    <x:row r="322">
      <x:c r="A322" s="88"/>
      <x:c r="B322" s="92"/>
      <x:c r="F322" s="9"/>
    </x:row>
    <x:row r="323">
      <x:c r="A323" s="88"/>
      <x:c r="B323" s="92"/>
      <x:c r="F323" s="9"/>
    </x:row>
    <x:row r="324">
      <x:c r="A324" s="88"/>
      <x:c r="B324" s="92"/>
      <x:c r="F324" s="9"/>
    </x:row>
    <x:row r="325">
      <x:c r="A325" s="88"/>
      <x:c r="B325" s="92"/>
      <x:c r="F325" s="9"/>
    </x:row>
    <x:row r="326">
      <x:c r="A326" s="88"/>
      <x:c r="B326" s="92"/>
      <x:c r="F326" s="9"/>
    </x:row>
    <x:row r="327">
      <x:c r="A327" s="88"/>
      <x:c r="B327" s="92"/>
      <x:c r="F327" s="9"/>
    </x:row>
    <x:row r="328">
      <x:c r="A328" s="88"/>
      <x:c r="B328" s="92"/>
      <x:c r="F328" s="9"/>
    </x:row>
    <x:row r="329">
      <x:c r="A329" s="88"/>
      <x:c r="B329" s="92"/>
      <x:c r="F329" s="9"/>
    </x:row>
    <x:row r="330">
      <x:c r="A330" s="88"/>
      <x:c r="B330" s="92"/>
      <x:c r="F330" s="9"/>
    </x:row>
    <x:row r="331">
      <x:c r="A331" s="88"/>
      <x:c r="B331" s="92"/>
      <x:c r="F331" s="9"/>
    </x:row>
    <x:row r="332">
      <x:c r="A332" s="88"/>
      <x:c r="B332" s="92"/>
      <x:c r="F332" s="9"/>
    </x:row>
    <x:row r="333">
      <x:c r="A333" s="88"/>
      <x:c r="B333" s="92"/>
      <x:c r="F333" s="9"/>
    </x:row>
    <x:row r="334">
      <x:c r="A334" s="88"/>
      <x:c r="B334" s="92"/>
      <x:c r="F334" s="9"/>
    </x:row>
    <x:row r="335">
      <x:c r="A335" s="88"/>
      <x:c r="B335" s="92"/>
      <x:c r="F335" s="9"/>
    </x:row>
    <x:row r="336">
      <x:c r="A336" s="88"/>
      <x:c r="B336" s="92"/>
      <x:c r="F336" s="9"/>
    </x:row>
    <x:row r="337">
      <x:c r="A337" s="88"/>
      <x:c r="B337" s="92"/>
      <x:c r="F337" s="9"/>
    </x:row>
    <x:row r="338">
      <x:c r="A338" s="88"/>
      <x:c r="B338" s="92"/>
      <x:c r="F338" s="9"/>
    </x:row>
    <x:row r="339">
      <x:c r="A339" s="88"/>
      <x:c r="B339" s="92"/>
      <x:c r="F339" s="9"/>
    </x:row>
    <x:row r="340">
      <x:c r="A340" s="88"/>
      <x:c r="B340" s="92"/>
      <x:c r="F340" s="9"/>
    </x:row>
    <x:row r="341">
      <x:c r="A341" s="88"/>
      <x:c r="B341" s="92"/>
      <x:c r="F341" s="9"/>
    </x:row>
    <x:row r="342">
      <x:c r="A342" s="88"/>
      <x:c r="B342" s="92"/>
      <x:c r="F342" s="9"/>
    </x:row>
    <x:row r="343">
      <x:c r="A343" s="88"/>
      <x:c r="B343" s="92"/>
      <x:c r="F343" s="9"/>
    </x:row>
    <x:row r="344">
      <x:c r="A344" s="88"/>
      <x:c r="B344" s="92"/>
      <x:c r="F344" s="9"/>
    </x:row>
    <x:row r="345">
      <x:c r="A345" s="88"/>
      <x:c r="B345" s="92"/>
      <x:c r="F345" s="9"/>
    </x:row>
    <x:row r="346">
      <x:c r="A346" s="88"/>
      <x:c r="B346" s="92"/>
      <x:c r="F346" s="9"/>
    </x:row>
    <x:row r="347">
      <x:c r="A347" s="88"/>
      <x:c r="B347" s="92"/>
      <x:c r="F347" s="9"/>
    </x:row>
    <x:row r="348">
      <x:c r="A348" s="88"/>
      <x:c r="B348" s="92"/>
      <x:c r="F348" s="9"/>
    </x:row>
    <x:row r="349">
      <x:c r="A349" s="88"/>
      <x:c r="B349" s="92"/>
      <x:c r="F349" s="9"/>
    </x:row>
    <x:row r="350">
      <x:c r="A350" s="88"/>
      <x:c r="B350" s="92"/>
      <x:c r="F350" s="9"/>
    </x:row>
    <x:row r="351">
      <x:c r="A351" s="88"/>
      <x:c r="B351" s="92"/>
      <x:c r="F351" s="9"/>
    </x:row>
    <x:row r="352">
      <x:c r="A352" s="88"/>
      <x:c r="B352" s="92"/>
      <x:c r="F352" s="9"/>
    </x:row>
    <x:row r="353">
      <x:c r="A353" s="88"/>
      <x:c r="B353" s="92"/>
      <x:c r="F353" s="9"/>
    </x:row>
    <x:row r="354">
      <x:c r="A354" s="88"/>
      <x:c r="B354" s="92"/>
      <x:c r="F354" s="9"/>
    </x:row>
    <x:row r="355">
      <x:c r="A355" s="88"/>
      <x:c r="B355" s="92"/>
      <x:c r="F355" s="9"/>
    </x:row>
    <x:row r="356">
      <x:c r="A356" s="88"/>
      <x:c r="B356" s="92"/>
      <x:c r="F356" s="9"/>
    </x:row>
    <x:row r="357">
      <x:c r="A357" s="88"/>
      <x:c r="B357" s="92"/>
      <x:c r="F357" s="9"/>
    </x:row>
    <x:row r="358">
      <x:c r="A358" s="88"/>
      <x:c r="B358" s="92"/>
      <x:c r="F358" s="9"/>
    </x:row>
    <x:row r="359">
      <x:c r="A359" s="88"/>
      <x:c r="B359" s="92"/>
      <x:c r="F359" s="9"/>
    </x:row>
    <x:row r="360">
      <x:c r="A360" s="88"/>
      <x:c r="B360" s="92"/>
      <x:c r="F360" s="9"/>
    </x:row>
    <x:row r="361">
      <x:c r="A361" s="88"/>
      <x:c r="B361" s="92"/>
      <x:c r="F361" s="9"/>
    </x:row>
    <x:row r="362">
      <x:c r="A362" s="88"/>
      <x:c r="B362" s="92"/>
      <x:c r="F362" s="9"/>
    </x:row>
    <x:row r="363">
      <x:c r="A363" s="88"/>
      <x:c r="B363" s="92"/>
      <x:c r="F363" s="9"/>
    </x:row>
    <x:row r="364">
      <x:c r="A364" s="88"/>
      <x:c r="B364" s="92"/>
      <x:c r="F364" s="9"/>
    </x:row>
    <x:row r="365">
      <x:c r="A365" s="88"/>
      <x:c r="B365" s="92"/>
      <x:c r="F365" s="9"/>
    </x:row>
    <x:row r="366">
      <x:c r="A366" s="88"/>
      <x:c r="B366" s="92"/>
      <x:c r="F366" s="9"/>
    </x:row>
    <x:row r="367">
      <x:c r="A367" s="88"/>
      <x:c r="B367" s="92"/>
      <x:c r="F367" s="9"/>
    </x:row>
    <x:row r="368">
      <x:c r="A368" s="88"/>
      <x:c r="B368" s="92"/>
      <x:c r="F368" s="9"/>
    </x:row>
    <x:row r="369">
      <x:c r="A369" s="88"/>
      <x:c r="B369" s="92"/>
      <x:c r="F369" s="9"/>
    </x:row>
    <x:row r="370">
      <x:c r="A370" s="88"/>
      <x:c r="B370" s="92"/>
      <x:c r="F370" s="9"/>
    </x:row>
    <x:row r="371">
      <x:c r="A371" s="88"/>
      <x:c r="B371" s="92"/>
      <x:c r="F371" s="9"/>
    </x:row>
    <x:row r="372">
      <x:c r="A372" s="88"/>
      <x:c r="B372" s="92"/>
      <x:c r="F372" s="9"/>
    </x:row>
    <x:row r="373">
      <x:c r="A373" s="88"/>
      <x:c r="B373" s="92"/>
      <x:c r="F373" s="9"/>
    </x:row>
    <x:row r="374">
      <x:c r="A374" s="88"/>
      <x:c r="B374" s="92"/>
      <x:c r="F374" s="9"/>
    </x:row>
    <x:row r="375">
      <x:c r="A375" s="88"/>
      <x:c r="B375" s="92"/>
      <x:c r="F375" s="9"/>
    </x:row>
    <x:row r="376">
      <x:c r="A376" s="88"/>
      <x:c r="B376" s="92"/>
      <x:c r="F376" s="9"/>
    </x:row>
    <x:row r="377">
      <x:c r="A377" s="88"/>
      <x:c r="B377" s="92"/>
      <x:c r="F377" s="9"/>
    </x:row>
    <x:row r="378">
      <x:c r="A378" s="88"/>
      <x:c r="B378" s="92"/>
      <x:c r="F378" s="9"/>
    </x:row>
    <x:row r="379">
      <x:c r="A379" s="88"/>
      <x:c r="B379" s="92"/>
      <x:c r="F379" s="9"/>
    </x:row>
    <x:row r="380">
      <x:c r="A380" s="88"/>
      <x:c r="B380" s="92"/>
      <x:c r="F380" s="9"/>
    </x:row>
    <x:row r="381">
      <x:c r="A381" s="88"/>
      <x:c r="B381" s="92"/>
      <x:c r="F381" s="9"/>
    </x:row>
    <x:row r="382">
      <x:c r="A382" s="88"/>
      <x:c r="B382" s="92"/>
      <x:c r="F382" s="9"/>
    </x:row>
    <x:row r="383">
      <x:c r="A383" s="88"/>
      <x:c r="B383" s="92"/>
      <x:c r="F383" s="9"/>
    </x:row>
    <x:row r="384">
      <x:c r="A384" s="88"/>
      <x:c r="B384" s="92"/>
      <x:c r="F384" s="9"/>
    </x:row>
    <x:row r="385">
      <x:c r="A385" s="88"/>
      <x:c r="B385" s="92"/>
      <x:c r="F385" s="9"/>
    </x:row>
    <x:row r="386">
      <x:c r="A386" s="88"/>
      <x:c r="B386" s="92"/>
      <x:c r="F386" s="9"/>
    </x:row>
    <x:row r="387">
      <x:c r="A387" s="88"/>
      <x:c r="B387" s="92"/>
      <x:c r="F387" s="9"/>
    </x:row>
    <x:row r="388">
      <x:c r="A388" s="88"/>
      <x:c r="B388" s="92"/>
      <x:c r="F388" s="9"/>
    </x:row>
    <x:row r="389">
      <x:c r="A389" s="88"/>
      <x:c r="B389" s="92"/>
      <x:c r="F389" s="9"/>
    </x:row>
    <x:row r="390">
      <x:c r="A390" s="88"/>
      <x:c r="B390" s="92"/>
      <x:c r="F390" s="9"/>
    </x:row>
    <x:row r="391">
      <x:c r="A391" s="88"/>
      <x:c r="B391" s="92"/>
      <x:c r="F391" s="9"/>
    </x:row>
    <x:row r="392">
      <x:c r="A392" s="88"/>
      <x:c r="B392" s="92"/>
      <x:c r="F392" s="9"/>
    </x:row>
    <x:row r="393">
      <x:c r="A393" s="88"/>
      <x:c r="B393" s="92"/>
      <x:c r="F393" s="9"/>
    </x:row>
    <x:row r="394">
      <x:c r="A394" s="88"/>
      <x:c r="B394" s="92"/>
      <x:c r="F394" s="9"/>
    </x:row>
    <x:row r="395">
      <x:c r="A395" s="88"/>
      <x:c r="B395" s="92"/>
      <x:c r="F395" s="9"/>
    </x:row>
    <x:row r="396">
      <x:c r="A396" s="88"/>
      <x:c r="B396" s="92"/>
      <x:c r="F396" s="9"/>
    </x:row>
    <x:row r="397">
      <x:c r="A397" s="88"/>
      <x:c r="B397" s="92"/>
      <x:c r="F397" s="9"/>
    </x:row>
    <x:row r="398">
      <x:c r="A398" s="88"/>
      <x:c r="B398" s="92"/>
      <x:c r="F398" s="9"/>
    </x:row>
    <x:row r="399">
      <x:c r="A399" s="88"/>
      <x:c r="B399" s="92"/>
      <x:c r="F399" s="9"/>
    </x:row>
    <x:row r="400">
      <x:c r="A400" s="88"/>
      <x:c r="B400" s="92"/>
      <x:c r="F400" s="9"/>
    </x:row>
    <x:row r="401">
      <x:c r="A401" s="88"/>
      <x:c r="B401" s="92"/>
      <x:c r="F401" s="9"/>
    </x:row>
    <x:row r="402">
      <x:c r="A402" s="88"/>
      <x:c r="B402" s="92"/>
      <x:c r="F402" s="9"/>
    </x:row>
    <x:row r="403">
      <x:c r="A403" s="88"/>
      <x:c r="B403" s="92"/>
      <x:c r="F403" s="9"/>
    </x:row>
    <x:row r="404">
      <x:c r="A404" s="88"/>
      <x:c r="B404" s="92"/>
      <x:c r="F404" s="9"/>
    </x:row>
    <x:row r="405">
      <x:c r="A405" s="88"/>
      <x:c r="B405" s="92"/>
      <x:c r="F405" s="9"/>
    </x:row>
    <x:row r="406">
      <x:c r="A406" s="88"/>
      <x:c r="B406" s="92"/>
      <x:c r="F406" s="9"/>
    </x:row>
    <x:row r="407">
      <x:c r="A407" s="88"/>
      <x:c r="B407" s="92"/>
      <x:c r="F407" s="9"/>
    </x:row>
    <x:row r="408">
      <x:c r="A408" s="88"/>
      <x:c r="B408" s="92"/>
      <x:c r="F408" s="9"/>
    </x:row>
    <x:row r="409">
      <x:c r="A409" s="88"/>
      <x:c r="B409" s="92"/>
      <x:c r="F409" s="9"/>
    </x:row>
    <x:row r="410">
      <x:c r="A410" s="88"/>
      <x:c r="B410" s="92"/>
      <x:c r="F410" s="9"/>
    </x:row>
    <x:row r="411">
      <x:c r="A411" s="88"/>
      <x:c r="B411" s="92"/>
      <x:c r="F411" s="9"/>
    </x:row>
    <x:row r="412">
      <x:c r="A412" s="88"/>
      <x:c r="B412" s="92"/>
      <x:c r="F412" s="9"/>
    </x:row>
    <x:row r="413">
      <x:c r="A413" s="88"/>
      <x:c r="B413" s="92"/>
      <x:c r="F413" s="9"/>
    </x:row>
    <x:row r="414">
      <x:c r="A414" s="88"/>
      <x:c r="B414" s="92"/>
      <x:c r="F414" s="9"/>
    </x:row>
    <x:row r="415">
      <x:c r="A415" s="88"/>
      <x:c r="B415" s="92"/>
      <x:c r="F415" s="9"/>
    </x:row>
    <x:row r="416">
      <x:c r="A416" s="88"/>
      <x:c r="B416" s="92"/>
      <x:c r="F416" s="9"/>
    </x:row>
    <x:row r="417">
      <x:c r="A417" s="88"/>
      <x:c r="B417" s="92"/>
      <x:c r="F417" s="9"/>
    </x:row>
    <x:row r="418">
      <x:c r="A418" s="88"/>
      <x:c r="B418" s="92"/>
      <x:c r="F418" s="9"/>
    </x:row>
    <x:row r="419">
      <x:c r="A419" s="88"/>
      <x:c r="B419" s="92"/>
      <x:c r="F419" s="9"/>
    </x:row>
    <x:row r="420">
      <x:c r="A420" s="88"/>
      <x:c r="B420" s="92"/>
      <x:c r="F420" s="9"/>
    </x:row>
    <x:row r="421">
      <x:c r="A421" s="88"/>
      <x:c r="B421" s="92"/>
      <x:c r="F421" s="9"/>
    </x:row>
    <x:row r="422">
      <x:c r="A422" s="88"/>
      <x:c r="B422" s="92"/>
      <x:c r="F422" s="9"/>
    </x:row>
    <x:row r="423">
      <x:c r="A423" s="88"/>
      <x:c r="B423" s="92"/>
      <x:c r="F423" s="9"/>
    </x:row>
    <x:row r="424">
      <x:c r="A424" s="88"/>
      <x:c r="B424" s="92"/>
      <x:c r="F424" s="9"/>
    </x:row>
    <x:row r="425">
      <x:c r="A425" s="88"/>
      <x:c r="B425" s="92"/>
      <x:c r="F425" s="9"/>
    </x:row>
    <x:row r="426">
      <x:c r="A426" s="88"/>
      <x:c r="B426" s="92"/>
      <x:c r="F426" s="9"/>
    </x:row>
    <x:row r="427">
      <x:c r="A427" s="88"/>
      <x:c r="B427" s="92"/>
      <x:c r="F427" s="9"/>
    </x:row>
    <x:row r="428">
      <x:c r="A428" s="88"/>
      <x:c r="B428" s="92"/>
      <x:c r="F428" s="9"/>
    </x:row>
    <x:row r="429">
      <x:c r="A429" s="88"/>
      <x:c r="B429" s="92"/>
      <x:c r="F429" s="9"/>
    </x:row>
    <x:row r="430">
      <x:c r="A430" s="88"/>
      <x:c r="B430" s="92"/>
      <x:c r="F430" s="9"/>
    </x:row>
    <x:row r="431">
      <x:c r="A431" s="88"/>
      <x:c r="B431" s="92"/>
      <x:c r="F431" s="9"/>
    </x:row>
    <x:row r="432">
      <x:c r="A432" s="88"/>
      <x:c r="B432" s="92"/>
      <x:c r="F432" s="9"/>
    </x:row>
    <x:row r="433">
      <x:c r="A433" s="88"/>
      <x:c r="B433" s="92"/>
      <x:c r="F433" s="9"/>
    </x:row>
    <x:row r="434">
      <x:c r="A434" s="88"/>
      <x:c r="B434" s="92"/>
      <x:c r="F434" s="9"/>
    </x:row>
    <x:row r="435">
      <x:c r="A435" s="88"/>
      <x:c r="B435" s="92"/>
      <x:c r="F435" s="9"/>
    </x:row>
    <x:row r="436">
      <x:c r="A436" s="88"/>
      <x:c r="B436" s="92"/>
      <x:c r="F436" s="9"/>
    </x:row>
    <x:row r="437">
      <x:c r="A437" s="88"/>
      <x:c r="B437" s="92"/>
      <x:c r="F437" s="9"/>
    </x:row>
    <x:row r="438">
      <x:c r="A438" s="88"/>
      <x:c r="B438" s="92"/>
      <x:c r="F438" s="9"/>
    </x:row>
    <x:row r="439">
      <x:c r="A439" s="88"/>
      <x:c r="B439" s="92"/>
      <x:c r="F439" s="9"/>
    </x:row>
    <x:row r="440">
      <x:c r="A440" s="88"/>
      <x:c r="B440" s="92"/>
      <x:c r="F440" s="9"/>
    </x:row>
    <x:row r="441">
      <x:c r="A441" s="88"/>
      <x:c r="B441" s="92"/>
      <x:c r="F441" s="9"/>
    </x:row>
    <x:row r="442">
      <x:c r="A442" s="88"/>
      <x:c r="B442" s="92"/>
      <x:c r="F442" s="9"/>
    </x:row>
    <x:row r="443">
      <x:c r="A443" s="88"/>
      <x:c r="B443" s="92"/>
      <x:c r="F443" s="9"/>
    </x:row>
    <x:row r="444">
      <x:c r="A444" s="88"/>
      <x:c r="B444" s="92"/>
      <x:c r="F444" s="9"/>
    </x:row>
    <x:row r="445">
      <x:c r="A445" s="88"/>
      <x:c r="B445" s="92"/>
      <x:c r="F445" s="9"/>
    </x:row>
    <x:row r="446">
      <x:c r="A446" s="88"/>
      <x:c r="B446" s="92"/>
      <x:c r="F446" s="9"/>
    </x:row>
    <x:row r="447">
      <x:c r="A447" s="88"/>
      <x:c r="B447" s="92"/>
      <x:c r="F447" s="9"/>
    </x:row>
    <x:row r="448">
      <x:c r="A448" s="88"/>
      <x:c r="B448" s="92"/>
      <x:c r="F448" s="9"/>
    </x:row>
    <x:row r="449">
      <x:c r="A449" s="88"/>
      <x:c r="B449" s="92"/>
      <x:c r="F449" s="9"/>
    </x:row>
    <x:row r="450">
      <x:c r="A450" s="88"/>
      <x:c r="B450" s="92"/>
      <x:c r="F450" s="9"/>
    </x:row>
    <x:row r="451">
      <x:c r="A451" s="88"/>
      <x:c r="B451" s="92"/>
      <x:c r="F451" s="9"/>
    </x:row>
    <x:row r="452">
      <x:c r="A452" s="88"/>
      <x:c r="B452" s="92"/>
      <x:c r="F452" s="9"/>
    </x:row>
    <x:row r="453">
      <x:c r="A453" s="88"/>
      <x:c r="B453" s="92"/>
      <x:c r="F453" s="9"/>
    </x:row>
    <x:row r="454">
      <x:c r="A454" s="88"/>
      <x:c r="B454" s="92"/>
      <x:c r="F454" s="9"/>
    </x:row>
    <x:row r="455">
      <x:c r="A455" s="88"/>
      <x:c r="B455" s="92"/>
      <x:c r="F455" s="9"/>
    </x:row>
    <x:row r="456">
      <x:c r="A456" s="88"/>
      <x:c r="B456" s="92"/>
      <x:c r="F456" s="9"/>
    </x:row>
    <x:row r="457">
      <x:c r="A457" s="88"/>
      <x:c r="B457" s="92"/>
      <x:c r="F457" s="9"/>
    </x:row>
    <x:row r="458">
      <x:c r="A458" s="88"/>
      <x:c r="B458" s="92"/>
      <x:c r="F458" s="9"/>
    </x:row>
    <x:row r="459">
      <x:c r="A459" s="88"/>
      <x:c r="B459" s="92"/>
      <x:c r="F459" s="9"/>
    </x:row>
    <x:row r="460">
      <x:c r="A460" s="88"/>
      <x:c r="B460" s="92"/>
      <x:c r="F460" s="9"/>
    </x:row>
    <x:row r="461">
      <x:c r="A461" s="88"/>
      <x:c r="B461" s="92"/>
      <x:c r="F461" s="9"/>
    </x:row>
    <x:row r="462">
      <x:c r="A462" s="88"/>
      <x:c r="B462" s="92"/>
      <x:c r="F462" s="9"/>
    </x:row>
    <x:row r="463">
      <x:c r="A463" s="88"/>
      <x:c r="B463" s="92"/>
      <x:c r="F463" s="9"/>
    </x:row>
    <x:row r="464">
      <x:c r="A464" s="88"/>
      <x:c r="B464" s="92"/>
      <x:c r="F464" s="9"/>
    </x:row>
    <x:row r="465">
      <x:c r="A465" s="88"/>
      <x:c r="B465" s="92"/>
      <x:c r="F465" s="9"/>
    </x:row>
    <x:row r="466">
      <x:c r="A466" s="88"/>
      <x:c r="B466" s="92"/>
      <x:c r="F466" s="9"/>
    </x:row>
    <x:row r="467">
      <x:c r="A467" s="88"/>
      <x:c r="B467" s="92"/>
      <x:c r="F467" s="9"/>
    </x:row>
    <x:row r="468">
      <x:c r="A468" s="88"/>
      <x:c r="B468" s="92"/>
      <x:c r="F468" s="9"/>
    </x:row>
    <x:row r="469">
      <x:c r="A469" s="88"/>
      <x:c r="B469" s="92"/>
      <x:c r="F469" s="9"/>
    </x:row>
    <x:row r="470">
      <x:c r="A470" s="88"/>
      <x:c r="B470" s="92"/>
      <x:c r="F470" s="9"/>
    </x:row>
    <x:row r="471">
      <x:c r="A471" s="88"/>
      <x:c r="B471" s="92"/>
      <x:c r="F471" s="9"/>
    </x:row>
    <x:row r="472">
      <x:c r="A472" s="88"/>
      <x:c r="B472" s="92"/>
      <x:c r="F472" s="9"/>
    </x:row>
    <x:row r="473">
      <x:c r="A473" s="88"/>
      <x:c r="B473" s="92"/>
      <x:c r="F473" s="9"/>
    </x:row>
    <x:row r="474">
      <x:c r="A474" s="88"/>
      <x:c r="B474" s="92"/>
      <x:c r="F474" s="9"/>
    </x:row>
    <x:row r="475">
      <x:c r="A475" s="88"/>
      <x:c r="B475" s="92"/>
      <x:c r="F475" s="9"/>
    </x:row>
    <x:row r="476">
      <x:c r="A476" s="88"/>
      <x:c r="B476" s="92"/>
      <x:c r="F476" s="9"/>
    </x:row>
    <x:row r="477">
      <x:c r="A477" s="88"/>
      <x:c r="B477" s="92"/>
      <x:c r="F477" s="9"/>
    </x:row>
    <x:row r="478">
      <x:c r="A478" s="88"/>
      <x:c r="B478" s="92"/>
      <x:c r="F478" s="9"/>
    </x:row>
    <x:row r="479">
      <x:c r="A479" s="88"/>
      <x:c r="B479" s="92"/>
      <x:c r="F479" s="9"/>
    </x:row>
    <x:row r="480">
      <x:c r="A480" s="88"/>
      <x:c r="B480" s="92"/>
      <x:c r="F480" s="9"/>
    </x:row>
    <x:row r="481">
      <x:c r="A481" s="88"/>
      <x:c r="B481" s="92"/>
      <x:c r="F481" s="9"/>
    </x:row>
    <x:row r="482">
      <x:c r="A482" s="88"/>
      <x:c r="B482" s="92"/>
      <x:c r="F482" s="9"/>
    </x:row>
    <x:row r="483">
      <x:c r="A483" s="88"/>
      <x:c r="B483" s="92"/>
      <x:c r="F483" s="9"/>
    </x:row>
    <x:row r="484">
      <x:c r="A484" s="88"/>
      <x:c r="B484" s="92"/>
      <x:c r="F484" s="9"/>
    </x:row>
    <x:row r="485">
      <x:c r="A485" s="88"/>
      <x:c r="B485" s="92"/>
      <x:c r="F485" s="9"/>
    </x:row>
    <x:row r="486">
      <x:c r="A486" s="88"/>
      <x:c r="B486" s="92"/>
      <x:c r="F486" s="9"/>
    </x:row>
    <x:row r="487">
      <x:c r="A487" s="88"/>
      <x:c r="B487" s="92"/>
      <x:c r="F487" s="9"/>
    </x:row>
    <x:row r="488">
      <x:c r="A488" s="88"/>
      <x:c r="B488" s="92"/>
      <x:c r="F488" s="9"/>
    </x:row>
    <x:row r="489">
      <x:c r="A489" s="88"/>
      <x:c r="B489" s="92"/>
      <x:c r="F489" s="9"/>
    </x:row>
    <x:row r="490">
      <x:c r="A490" s="89"/>
      <x:c r="B490" s="92"/>
    </x:row>
    <x:row r="491">
      <x:c r="A491" s="89"/>
      <x:c r="B491" s="92"/>
    </x:row>
    <x:row r="492">
      <x:c r="A492" s="89"/>
      <x:c r="B492" s="92"/>
    </x:row>
    <x:row r="493">
      <x:c r="A493" s="89"/>
      <x:c r="B493" s="92"/>
    </x:row>
    <x:row r="494">
      <x:c r="A494" s="89"/>
      <x:c r="B494" s="92"/>
    </x:row>
    <x:row r="495">
      <x:c r="A495" s="89"/>
      <x:c r="B495" s="92"/>
    </x:row>
    <x:row r="496">
      <x:c r="A496" s="89"/>
      <x:c r="B496" s="92"/>
    </x:row>
    <x:row r="497">
      <x:c r="A497" s="89"/>
      <x:c r="B497" s="92"/>
    </x:row>
  </x:sheetData>
  <x:mergeCells>
    <x:mergeCell ref="A1:J1"/>
    <x:mergeCell ref="A2:J2"/>
  </x:mergeCells>
  <x:dataValidations count="3">
    <x:dataValidation type="date" errorTitle="Fecha no válida" error="Ingresa una fecha válida." promptTitle="Fecha" prompt="Registra la fecha del reporte." sqref="A4:A1048576">
      <x:formula1>DATE(2025,1,1)</x:formula1>
      <x:formula2>DATE(2100,12,31)</x:formula2>
    </x:dataValidation>
    <x:dataValidation type="time" errorTitle="Hora no válida" error="Ingresa una hora válida." sqref="B4:B1048576">
      <x:formula1>0</x:formula1>
      <x:formula2>1</x:formula2>
    </x:dataValidation>
    <x:dataValidation type="whole" operator="greaterThanOrEqual" errorTitle="Cantidad no válida" error="Ingresa un número entero igual o mayor que 0." sqref="F4:F104857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39d8e610604df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10" defaultColWidth="8.796875" defaultRowHeight="13.800000190734863"/>
  <x:cols>
    <x:col min="1" max="12" width="12" customWidth="1"/>
    <x:col min="13" max="25" width="2" hidden="1" customWidth="1"/>
    <x:col min="26" max="26" width="3" customWidth="1"/>
  </x:cols>
  <x:sheetData>
    <x:row r="1" ht="36" customHeight="1">
      <x:c r="A1" s="76" t="str">
        <x:v>CONTROL OPERATIVO DE VUELOS | CHILETE DEVPATH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 ht="24" customHeight="1">
      <x:c r="A2" s="75" t="s">
        <x:v>11</x:v>
      </x:c>
      <x:c r="B2" s="42"/>
      <x:c r="C2" s="42"/>
      <x:c r="D2" s="42"/>
      <x:c r="E2" s="42"/>
      <x:c r="F2" s="42"/>
      <x:c r="G2" s="42"/>
      <x:c r="H2" s="42"/>
      <x:c r="I2" s="57" t="s">
        <x:v>12</x:v>
      </x:c>
      <x:c r="J2" s="42"/>
      <x:c r="K2" s="74" t="n">
        <x:f ca="1">TODAY()</x:f>
        <x:v>46305</x:v>
      </x:c>
      <x:c r="L2" s="42"/>
      <x:c r="M2" s="36"/>
      <x:c r="N2" s="36" t="s">
        <x:v>1</x:v>
      </x:c>
      <x:c r="O2" s="36" t="s">
        <x:v>3</x:v>
      </x:c>
      <x:c r="P2" s="36" t="s">
        <x:v>5</x:v>
      </x:c>
      <x:c r="Q2" s="36" t="s">
        <x:v>13</x:v>
      </x:c>
      <x:c r="R2" s="36" t="s">
        <x:v>14</x:v>
      </x:c>
      <x:c r="S2" s="36" t="s">
        <x:v>15</x:v>
      </x:c>
      <x:c r="T2" s="36"/>
      <x:c r="U2" s="36" t="s">
        <x:v>1</x:v>
      </x:c>
      <x:c r="V2" s="36" t="s">
        <x:v>13</x:v>
      </x:c>
      <x:c r="W2" s="36"/>
      <x:c r="X2" s="36" t="s">
        <x:v>3</x:v>
      </x:c>
      <x:c r="Y2" s="36" t="s">
        <x:v>16</x:v>
      </x:c>
      <x:c r="Z2" s="36"/>
    </x:row>
    <x:row r="3" ht="11.100000381469727" customHeight="1">
      <x:c r="A3" s="16"/>
      <x:c r="B3" s="17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93" t="n">
        <x:f>'Registro de vuelos'!A4</x:f>
        <x:v>46287</x:v>
      </x:c>
      <x:c r="O3" s="15" t="str">
        <x:f>'Registro de vuelos'!C4</x:f>
        <x:v>Noche</x:v>
      </x:c>
      <x:c r="P3" s="15" t="str">
        <x:f>'Registro de vuelos'!E4</x:f>
        <x:v>Base Norte</x:v>
      </x:c>
      <x:c r="Q3" s="21" t="n">
        <x:f>'Registro de vuelos'!F4</x:f>
        <x:v>2</x:v>
      </x:c>
      <x:c r="R3" s="21" t="n">
        <x:f>IF(N3="","",IF(AND(COUNTIFS($N$3:$N$502,N3,$O$3:$O$502,O3,$P$3:$P$502,P3,$Q$3:$Q$502,"&gt;"&amp;Q3)=0,COUNTIFS($N$3:N3,N3,$O$3:O3,O3,$P$3:P3,P3,$Q$3:Q3,Q3)=1),1,0))</x:f>
        <x:v>1</x:v>
      </x:c>
      <x:c r="S3" s="21" t="n">
        <x:f t="shared" ref="S3:S66" si="0">IF(R3=1,Q3,0)</x:f>
        <x:v>2</x:v>
      </x:c>
      <x:c r="T3" s="19"/>
      <x:c r="U3" s="19" t="n">
        <x:f ca="1">TODAY()-6</x:f>
        <x:v>46299</x:v>
      </x:c>
      <x:c r="V3" s="21" t="n">
        <x:f t="shared" ref="V3:V9" ca="1" si="1">SUMIFS($S$3:$S$502,$N$3:$N$502,U3)</x:f>
        <x:v>0</x:v>
      </x:c>
      <x:c r="W3" s="15"/>
      <x:c r="X3" s="15" t="str">
        <x:f>Maestros!A4</x:f>
        <x:v>Día</x:v>
      </x:c>
      <x:c r="Y3" s="21" t="n">
        <x:f t="shared" ref="Y3:Y8" ca="1" si="2">IF(X3="","",SUMIFS($S$3:$S$502,$O$3:$O$502,X3,$N$3:$N$502,"&gt;="&amp;DATE(YEAR(TODAY()),MONTH(TODAY()),1),$N$3:$N$502,"&lt;"&amp;DATE(YEAR(TODAY()),MONTH(TODAY())+1,1)))</x:f>
        <x:v>0</x:v>
      </x:c>
      <x:c r="Z3" s="14"/>
    </x:row>
    <x:row r="4" ht="24" customHeight="1">
      <x:c r="A4" s="58" t="s">
        <x:v>17</x:v>
      </x:c>
      <x:c r="B4" s="59"/>
      <x:c r="C4" s="60"/>
      <x:c r="D4" s="58" t="s">
        <x:v>18</x:v>
      </x:c>
      <x:c r="E4" s="59"/>
      <x:c r="F4" s="60"/>
      <x:c r="G4" s="58" t="s">
        <x:v>19</x:v>
      </x:c>
      <x:c r="H4" s="59"/>
      <x:c r="I4" s="60"/>
      <x:c r="J4" s="58" t="s">
        <x:v>20</x:v>
      </x:c>
      <x:c r="K4" s="59"/>
      <x:c r="L4" s="60"/>
      <x:c r="M4" s="14"/>
      <x:c r="N4" s="93" t="n">
        <x:f>'Registro de vuelos'!A5</x:f>
        <x:v>46287</x:v>
      </x:c>
      <x:c r="O4" s="15" t="str">
        <x:f>'Registro de vuelos'!C5</x:f>
        <x:v>Noche</x:v>
      </x:c>
      <x:c r="P4" s="15" t="str">
        <x:f>'Registro de vuelos'!E5</x:f>
        <x:v>Base Norte</x:v>
      </x:c>
      <x:c r="Q4" s="21" t="n">
        <x:f>'Registro de vuelos'!F5</x:f>
        <x:v>0</x:v>
      </x:c>
      <x:c r="R4" s="21" t="n">
        <x:f>IF(N4="","",IF(AND(COUNTIFS($N$3:$N$502,N4,$O$3:$O$502,O4,$P$3:$P$502,P4,$Q$3:$Q$502,"&gt;"&amp;Q4)=0,COUNTIFS($N$3:N4,N4,$O$3:O4,O4,$P$3:P4,P4,$Q$3:Q4,Q4)=1),1,0))</x:f>
        <x:v>0</x:v>
      </x:c>
      <x:c r="S4" s="21" t="n">
        <x:f t="shared" si="0">IF(R4=1,Q4,0)</x:f>
        <x:v>0</x:v>
      </x:c>
      <x:c r="T4" s="19"/>
      <x:c r="U4" s="19" t="n">
        <x:f ca="1">TODAY()-5</x:f>
        <x:v>46300</x:v>
      </x:c>
      <x:c r="V4" s="21">
        <x:f t="shared" ca="1" si="1"/>
        <x:v>0</x:v>
      </x:c>
      <x:c r="W4" s="15"/>
      <x:c r="X4" s="15" t="str">
        <x:f>Maestros!A5</x:f>
        <x:v>Noche</x:v>
      </x:c>
      <x:c r="Y4" s="21">
        <x:f t="shared" ca="1" si="2"/>
        <x:v>2</x:v>
      </x:c>
      <x:c r="Z4" s="14"/>
    </x:row>
    <x:row r="5" ht="24" customHeight="1">
      <x:c r="A5" s="94" t="n">
        <x:f ca="1">SUMIFS($S$3:$S$502,$N$3:$N$502,TODAY())</x:f>
        <x:v>0</x:v>
      </x:c>
      <x:c r="B5" s="51"/>
      <x:c r="C5" s="68"/>
      <x:c r="D5" s="67" t="n">
        <x:f ca="1">SUMIFS($S$3:$S$502,$N$3:$N$502,"&gt;="&amp;TODAY()-WEEKDAY(TODAY(),2)+1,$N$3:$N$502,"&lt;"&amp;TODAY()-WEEKDAY(TODAY(),2)+8)</x:f>
        <x:v>0</x:v>
      </x:c>
      <x:c r="E5" s="51"/>
      <x:c r="F5" s="68"/>
      <x:c r="G5" s="67" t="n">
        <x:f ca="1">SUMIFS($S$3:$S$502,$N$3:$N$502,"&gt;="&amp;DATE(YEAR(TODAY()),MONTH(TODAY()),1),$N$3:$N$502,"&lt;"&amp;DATE(YEAR(TODAY()),MONTH(TODAY())+1,1))</x:f>
        <x:v>0</x:v>
      </x:c>
      <x:c r="H5" s="51"/>
      <x:c r="I5" s="68"/>
      <x:c r="J5" s="67" t="n">
        <x:f ca="1">SUMIFS($S$3:$S$502,$N$3:$N$502,"&gt;="&amp;DATE(YEAR(TODAY()),1,1),$N$3:$N$502,"&lt;"&amp;DATE(YEAR(TODAY())+1,1,1))</x:f>
        <x:v>6</x:v>
      </x:c>
      <x:c r="K5" s="51"/>
      <x:c r="L5" s="68"/>
      <x:c r="M5" s="14"/>
      <x:c r="N5" s="93" t="n">
        <x:f>'Registro de vuelos'!A6</x:f>
        <x:v>46287</x:v>
      </x:c>
      <x:c r="O5" s="15" t="str">
        <x:f>'Registro de vuelos'!C6</x:f>
        <x:v>Día</x:v>
      </x:c>
      <x:c r="P5" s="15" t="str">
        <x:f>'Registro de vuelos'!E6</x:f>
        <x:v>Base Norte</x:v>
      </x:c>
      <x:c r="Q5" s="21" t="n">
        <x:f>'Registro de vuelos'!F6</x:f>
        <x:v>3</x:v>
      </x:c>
      <x:c r="R5" s="21" t="n">
        <x:f>IF(N5="","",IF(AND(COUNTIFS($N$3:$N$502,N5,$O$3:$O$502,O5,$P$3:$P$502,P5,$Q$3:$Q$502,"&gt;"&amp;Q5)=0,COUNTIFS($N$3:N5,N5,$O$3:O5,O5,$P$3:P5,P5,$Q$3:Q5,Q5)=1),1,0))</x:f>
        <x:v>1</x:v>
      </x:c>
      <x:c r="S5" s="21" t="n">
        <x:f t="shared" si="0">IF(R5=1,Q5,0)</x:f>
        <x:v>3</x:v>
      </x:c>
      <x:c r="T5" s="19"/>
      <x:c r="U5" s="19" t="n">
        <x:f ca="1">TODAY()-4</x:f>
        <x:v>46301</x:v>
      </x:c>
      <x:c r="V5" s="21">
        <x:f t="shared" ca="1" si="1"/>
        <x:v>0</x:v>
      </x:c>
      <x:c r="W5" s="15"/>
      <x:c r="X5" s="15" t="n">
        <x:f>Maestros!A6</x:f>
        <x:v>0</x:v>
      </x:c>
      <x:c r="Y5" s="21">
        <x:f t="shared" ca="1" si="2"/>
        <x:v>0</x:v>
      </x:c>
      <x:c r="Z5" s="14"/>
    </x:row>
    <x:row r="6" ht="24" customHeight="1">
      <x:c r="A6" s="69"/>
      <x:c r="B6" s="42"/>
      <x:c r="C6" s="68"/>
      <x:c r="D6" s="69"/>
      <x:c r="E6" s="42"/>
      <x:c r="F6" s="68"/>
      <x:c r="G6" s="69"/>
      <x:c r="H6" s="42"/>
      <x:c r="I6" s="68"/>
      <x:c r="J6" s="69"/>
      <x:c r="K6" s="42"/>
      <x:c r="L6" s="68"/>
      <x:c r="M6" s="14"/>
      <x:c r="N6" s="93" t="n">
        <x:f>'Registro de vuelos'!A7</x:f>
        <x:v>46288</x:v>
      </x:c>
      <x:c r="O6" s="15" t="str">
        <x:f>'Registro de vuelos'!C7</x:f>
        <x:v>Noche</x:v>
      </x:c>
      <x:c r="P6" s="15" t="str">
        <x:f>'Registro de vuelos'!E7</x:f>
        <x:v>Base Norte</x:v>
      </x:c>
      <x:c r="Q6" s="21" t="n">
        <x:f>'Registro de vuelos'!F7</x:f>
        <x:v>1</x:v>
      </x:c>
      <x:c r="R6" s="21" t="n">
        <x:f>IF(N6="","",IF(AND(COUNTIFS($N$3:$N$502,N6,$O$3:$O$502,O6,$P$3:$P$502,P6,$Q$3:$Q$502,"&gt;"&amp;Q6)=0,COUNTIFS($N$3:N6,N6,$O$3:O6,O6,$P$3:P6,P6,$Q$3:Q6,Q6)=1),1,0))</x:f>
        <x:v>1</x:v>
      </x:c>
      <x:c r="S6" s="21" t="n">
        <x:f t="shared" si="0">IF(R6=1,Q6,0)</x:f>
        <x:v>1</x:v>
      </x:c>
      <x:c r="T6" s="19"/>
      <x:c r="U6" s="19" t="n">
        <x:f ca="1">TODAY()-3</x:f>
        <x:v>46302</x:v>
      </x:c>
      <x:c r="V6" s="21">
        <x:f t="shared" ca="1" si="1"/>
        <x:v>0</x:v>
      </x:c>
      <x:c r="W6" s="15"/>
      <x:c r="X6" s="15" t="n">
        <x:f>Maestros!A7</x:f>
        <x:v>0</x:v>
      </x:c>
      <x:c r="Y6" s="21">
        <x:f t="shared" ca="1" si="2"/>
        <x:v>0</x:v>
      </x:c>
      <x:c r="Z6" s="14"/>
    </x:row>
    <x:row r="7" ht="24" customHeight="1">
      <x:c r="A7" s="70"/>
      <x:c r="B7" s="71"/>
      <x:c r="C7" s="72"/>
      <x:c r="D7" s="70"/>
      <x:c r="E7" s="71"/>
      <x:c r="F7" s="72"/>
      <x:c r="G7" s="70"/>
      <x:c r="H7" s="71"/>
      <x:c r="I7" s="72"/>
      <x:c r="J7" s="70"/>
      <x:c r="K7" s="71"/>
      <x:c r="L7" s="72"/>
      <x:c r="M7" s="14"/>
      <x:c r="N7" s="93" t="n">
        <x:f>'Registro de vuelos'!A8</x:f>
        <x:v>0</x:v>
      </x:c>
      <x:c r="O7" s="15" t="n">
        <x:f>'Registro de vuelos'!C8</x:f>
        <x:v>0</x:v>
      </x:c>
      <x:c r="P7" s="15" t="n">
        <x:f>'Registro de vuelos'!E8</x:f>
        <x:v>0</x:v>
      </x:c>
      <x:c r="Q7" s="21" t="n">
        <x:f>'Registro de vuelos'!F8</x:f>
        <x:v>0</x:v>
      </x:c>
      <x:c r="R7" s="21" t="str">
        <x:f>IF(N7="","",IF(AND(COUNTIFS($N$3:$N$502,N7,$O$3:$O$502,O7,$P$3:$P$502,P7,$Q$3:$Q$502,"&gt;"&amp;Q7)=0,COUNTIFS($N$3:N7,N7,$O$3:O7,O7,$P$3:P7,P7,$Q$3:Q7,Q7)=1),1,0))</x:f>
      </x:c>
      <x:c r="S7" s="21" t="n">
        <x:f t="shared" si="0">IF(R7=1,Q7,0)</x:f>
        <x:v>0</x:v>
      </x:c>
      <x:c r="T7" s="19"/>
      <x:c r="U7" s="19" t="n">
        <x:f ca="1">TODAY()-2</x:f>
        <x:v>46303</x:v>
      </x:c>
      <x:c r="V7" s="21">
        <x:f t="shared" ca="1" si="1"/>
        <x:v>0</x:v>
      </x:c>
      <x:c r="W7" s="15"/>
      <x:c r="X7" s="15" t="n">
        <x:f>Maestros!A8</x:f>
        <x:v>0</x:v>
      </x:c>
      <x:c r="Y7" s="21">
        <x:f t="shared" ca="1" si="2"/>
        <x:v>0</x:v>
      </x:c>
      <x:c r="Z7" s="14"/>
    </x:row>
    <x:row r="8" ht="11.100000381469727" customHeight="1">
      <x:c r="A8" s="16"/>
      <x:c r="B8" s="17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93" t="n">
        <x:f>'Registro de vuelos'!A9</x:f>
        <x:v>0</x:v>
      </x:c>
      <x:c r="O8" s="15" t="n">
        <x:f>'Registro de vuelos'!C9</x:f>
        <x:v>0</x:v>
      </x:c>
      <x:c r="P8" s="15" t="n">
        <x:f>'Registro de vuelos'!E9</x:f>
        <x:v>0</x:v>
      </x:c>
      <x:c r="Q8" s="21" t="n">
        <x:f>'Registro de vuelos'!F9</x:f>
        <x:v>0</x:v>
      </x:c>
      <x:c r="R8" s="21" t="str">
        <x:f>IF(N8="","",IF(AND(COUNTIFS($N$3:$N$502,N8,$O$3:$O$502,O8,$P$3:$P$502,P8,$Q$3:$Q$502,"&gt;"&amp;Q8)=0,COUNTIFS($N$3:N8,N8,$O$3:O8,O8,$P$3:P8,P8,$Q$3:Q8,Q8)=1),1,0))</x:f>
      </x:c>
      <x:c r="S8" s="21" t="n">
        <x:f t="shared" si="0">IF(R8=1,Q8,0)</x:f>
        <x:v>0</x:v>
      </x:c>
      <x:c r="T8" s="19"/>
      <x:c r="U8" s="19" t="n">
        <x:f ca="1">TODAY()-1</x:f>
        <x:v>46304</x:v>
      </x:c>
      <x:c r="V8" s="21">
        <x:f t="shared" ca="1" si="1"/>
        <x:v>0</x:v>
      </x:c>
      <x:c r="W8" s="15"/>
      <x:c r="X8" s="15" t="n">
        <x:f>Maestros!A9</x:f>
        <x:v>0</x:v>
      </x:c>
      <x:c r="Y8" s="21">
        <x:f t="shared" ca="1" si="2"/>
        <x:v>0</x:v>
      </x:c>
      <x:c r="Z8" s="14"/>
    </x:row>
    <x:row r="9" ht="24" customHeight="1">
      <x:c r="A9" s="64" t="s">
        <x:v>21</x:v>
      </x:c>
      <x:c r="B9" s="65"/>
      <x:c r="C9" s="66"/>
      <x:c r="D9" s="64" t="s">
        <x:v>22</x:v>
      </x:c>
      <x:c r="E9" s="65"/>
      <x:c r="F9" s="66"/>
      <x:c r="G9" s="64" t="s">
        <x:v>23</x:v>
      </x:c>
      <x:c r="H9" s="65"/>
      <x:c r="I9" s="66"/>
      <x:c r="J9" s="64" t="s">
        <x:v>24</x:v>
      </x:c>
      <x:c r="K9" s="65"/>
      <x:c r="L9" s="66"/>
      <x:c r="M9" s="14"/>
      <x:c r="N9" s="93" t="n">
        <x:f>'Registro de vuelos'!A10</x:f>
        <x:v>0</x:v>
      </x:c>
      <x:c r="O9" s="15" t="n">
        <x:f>'Registro de vuelos'!C10</x:f>
        <x:v>0</x:v>
      </x:c>
      <x:c r="P9" s="15" t="n">
        <x:f>'Registro de vuelos'!E10</x:f>
        <x:v>0</x:v>
      </x:c>
      <x:c r="Q9" s="21" t="n">
        <x:f>'Registro de vuelos'!F10</x:f>
        <x:v>0</x:v>
      </x:c>
      <x:c r="R9" s="21" t="str">
        <x:f>IF(N9="","",IF(AND(COUNTIFS($N$3:$N$502,N9,$O$3:$O$502,O9,$P$3:$P$502,P9,$Q$3:$Q$502,"&gt;"&amp;Q9)=0,COUNTIFS($N$3:N9,N9,$O$3:O9,O9,$P$3:P9,P9,$Q$3:Q9,Q9)=1),1,0))</x:f>
      </x:c>
      <x:c r="S9" s="21" t="n">
        <x:f t="shared" si="0">IF(R9=1,Q9,0)</x:f>
        <x:v>0</x:v>
      </x:c>
      <x:c r="T9" s="19"/>
      <x:c r="U9" s="19" t="n">
        <x:f ca="1">TODAY()-0</x:f>
        <x:v>46305</x:v>
      </x:c>
      <x:c r="V9" s="21">
        <x:f t="shared" ca="1" si="1"/>
        <x:v>2</x:v>
      </x:c>
      <x:c r="W9" s="15"/>
      <x:c r="X9" s="15"/>
      <x:c r="Y9" s="15"/>
      <x:c r="Z9" s="14"/>
    </x:row>
    <x:row r="10" ht="22.049999237060547" customHeight="1">
      <x:c r="A10" s="50" t="n">
        <x:f ca="1">COUNTIF('Registro de vuelos'!$A$4:$A$497,TODAY())</x:f>
        <x:v>0</x:v>
      </x:c>
      <x:c r="B10" s="51"/>
      <x:c r="C10" s="52"/>
      <x:c r="D10" s="50" t="n">
        <x:f ca="1">COUNTIFS('Registro de vuelos'!$A$4:$A$497,TODAY(),'Registro de vuelos'!$F$4:$F$497,"&gt;0")</x:f>
        <x:v>0</x:v>
      </x:c>
      <x:c r="E10" s="51"/>
      <x:c r="F10" s="52"/>
      <x:c r="G10" s="50" t="n">
        <x:f ca="1">COUNTIFS('Registro de vuelos'!$A$4:$A$497,TODAY(),'Registro de vuelos'!$F$4:$F$497,0)</x:f>
        <x:v>0</x:v>
      </x:c>
      <x:c r="H10" s="51"/>
      <x:c r="I10" s="52"/>
      <x:c r="J10" s="50" t="n">
        <x:f ca="1">COUNTIFS('Registro de vuelos'!$A$4:$A$497,TODAY(),'Registro de vuelos'!$H$4:$H$497,"Sí")</x:f>
        <x:v>0</x:v>
      </x:c>
      <x:c r="K10" s="51"/>
      <x:c r="L10" s="52"/>
      <x:c r="M10" s="14"/>
      <x:c r="N10" s="93" t="n">
        <x:f>'Registro de vuelos'!A11</x:f>
        <x:v>0</x:v>
      </x:c>
      <x:c r="O10" s="15" t="n">
        <x:f>'Registro de vuelos'!C11</x:f>
        <x:v>0</x:v>
      </x:c>
      <x:c r="P10" s="15" t="n">
        <x:f>'Registro de vuelos'!E11</x:f>
        <x:v>0</x:v>
      </x:c>
      <x:c r="Q10" s="21" t="n">
        <x:f>'Registro de vuelos'!F11</x:f>
        <x:v>0</x:v>
      </x:c>
      <x:c r="R10" s="21" t="str">
        <x:f>IF(N10="","",IF(AND(COUNTIFS($N$3:$N$502,N10,$O$3:$O$502,O10,$P$3:$P$502,P10,$Q$3:$Q$502,"&gt;"&amp;Q10)=0,COUNTIFS($N$3:N10,N10,$O$3:O10,O10,$P$3:P10,P10,$Q$3:Q10,Q10)=1),1,0))</x:f>
      </x:c>
      <x:c r="S10" s="21" t="n">
        <x:f t="shared" si="0">IF(R10=1,Q10,0)</x:f>
        <x:v>0</x:v>
      </x:c>
      <x:c r="T10" s="15"/>
      <x:c r="U10" s="15"/>
      <x:c r="V10" s="15"/>
      <x:c r="W10" s="15"/>
      <x:c r="X10" s="15"/>
      <x:c r="Y10" s="15"/>
      <x:c r="Z10" s="14"/>
    </x:row>
    <x:row r="11" ht="22.049999237060547" customHeight="1">
      <x:c r="A11" s="53"/>
      <x:c r="B11" s="42"/>
      <x:c r="C11" s="52"/>
      <x:c r="D11" s="53"/>
      <x:c r="E11" s="42"/>
      <x:c r="F11" s="52"/>
      <x:c r="G11" s="53"/>
      <x:c r="H11" s="42"/>
      <x:c r="I11" s="52"/>
      <x:c r="J11" s="53"/>
      <x:c r="K11" s="42"/>
      <x:c r="L11" s="52"/>
      <x:c r="M11" s="14"/>
      <x:c r="N11" s="93" t="n">
        <x:f>'Registro de vuelos'!A12</x:f>
        <x:v>0</x:v>
      </x:c>
      <x:c r="O11" s="15" t="n">
        <x:f>'Registro de vuelos'!C12</x:f>
        <x:v>0</x:v>
      </x:c>
      <x:c r="P11" s="15" t="n">
        <x:f>'Registro de vuelos'!E12</x:f>
        <x:v>0</x:v>
      </x:c>
      <x:c r="Q11" s="21" t="n">
        <x:f>'Registro de vuelos'!F12</x:f>
        <x:v>0</x:v>
      </x:c>
      <x:c r="R11" s="21" t="str">
        <x:f>IF(N11="","",IF(AND(COUNTIFS($N$3:$N$502,N11,$O$3:$O$502,O11,$P$3:$P$502,P11,$Q$3:$Q$502,"&gt;"&amp;Q11)=0,COUNTIFS($N$3:N11,N11,$O$3:O11,O11,$P$3:P11,P11,$Q$3:Q11,Q11)=1),1,0))</x:f>
      </x:c>
      <x:c r="S11" s="21" t="n">
        <x:f t="shared" si="0">IF(R11=1,Q11,0)</x:f>
        <x:v>0</x:v>
      </x:c>
      <x:c r="T11" s="15"/>
      <x:c r="U11" s="15"/>
      <x:c r="V11" s="15"/>
      <x:c r="W11" s="15"/>
      <x:c r="X11" s="15"/>
      <x:c r="Y11" s="15"/>
      <x:c r="Z11" s="14"/>
    </x:row>
    <x:row r="12" ht="22.049999237060547" customHeight="1">
      <x:c r="A12" s="54"/>
      <x:c r="B12" s="55"/>
      <x:c r="C12" s="56"/>
      <x:c r="D12" s="54"/>
      <x:c r="E12" s="55"/>
      <x:c r="F12" s="56"/>
      <x:c r="G12" s="54"/>
      <x:c r="H12" s="55"/>
      <x:c r="I12" s="56"/>
      <x:c r="J12" s="54"/>
      <x:c r="K12" s="55"/>
      <x:c r="L12" s="56"/>
      <x:c r="M12" s="14"/>
      <x:c r="N12" s="93" t="n">
        <x:f>'Registro de vuelos'!A13</x:f>
        <x:v>0</x:v>
      </x:c>
      <x:c r="O12" s="15" t="n">
        <x:f>'Registro de vuelos'!C13</x:f>
        <x:v>0</x:v>
      </x:c>
      <x:c r="P12" s="15" t="n">
        <x:f>'Registro de vuelos'!E13</x:f>
        <x:v>0</x:v>
      </x:c>
      <x:c r="Q12" s="21" t="n">
        <x:f>'Registro de vuelos'!F13</x:f>
        <x:v>0</x:v>
      </x:c>
      <x:c r="R12" s="21" t="str">
        <x:f>IF(N12="","",IF(AND(COUNTIFS($N$3:$N$502,N12,$O$3:$O$502,O12,$P$3:$P$502,P12,$Q$3:$Q$502,"&gt;"&amp;Q12)=0,COUNTIFS($N$3:N12,N12,$O$3:O12,O12,$P$3:P12,P12,$Q$3:Q12,Q12)=1),1,0))</x:f>
      </x:c>
      <x:c r="S12" s="21" t="n">
        <x:f t="shared" si="0">IF(R12=1,Q12,0)</x:f>
        <x:v>0</x:v>
      </x:c>
      <x:c r="T12" s="15"/>
      <x:c r="U12" s="15"/>
      <x:c r="V12" s="15"/>
      <x:c r="W12" s="15"/>
      <x:c r="X12" s="15"/>
      <x:c r="Y12" s="15"/>
      <x:c r="Z12" s="14"/>
    </x:row>
    <x:row r="13" ht="11.100000381469727" customHeight="1">
      <x:c r="A13" s="16"/>
      <x:c r="B13" s="17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93" t="n">
        <x:f>'Registro de vuelos'!A14</x:f>
        <x:v>0</x:v>
      </x:c>
      <x:c r="O13" s="15" t="n">
        <x:f>'Registro de vuelos'!C14</x:f>
        <x:v>0</x:v>
      </x:c>
      <x:c r="P13" s="15" t="n">
        <x:f>'Registro de vuelos'!E14</x:f>
        <x:v>0</x:v>
      </x:c>
      <x:c r="Q13" s="21" t="n">
        <x:f>'Registro de vuelos'!F14</x:f>
        <x:v>0</x:v>
      </x:c>
      <x:c r="R13" s="21" t="str">
        <x:f>IF(N13="","",IF(AND(COUNTIFS($N$3:$N$502,N13,$O$3:$O$502,O13,$P$3:$P$502,P13,$Q$3:$Q$502,"&gt;"&amp;Q13)=0,COUNTIFS($N$3:N13,N13,$O$3:O13,O13,$P$3:P13,P13,$Q$3:Q13,Q13)=1),1,0))</x:f>
      </x:c>
      <x:c r="S13" s="21" t="n">
        <x:f t="shared" si="0">IF(R13=1,Q13,0)</x:f>
        <x:v>0</x:v>
      </x:c>
      <x:c r="T13" s="15"/>
      <x:c r="U13" s="15"/>
      <x:c r="V13" s="15"/>
      <x:c r="W13" s="15"/>
      <x:c r="X13" s="15"/>
      <x:c r="Y13" s="15"/>
      <x:c r="Z13" s="14"/>
    </x:row>
    <x:row r="14" ht="11.100000381469727" customHeight="1">
      <x:c r="A14" s="16"/>
      <x:c r="B14" s="17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93" t="n">
        <x:f>'Registro de vuelos'!A15</x:f>
        <x:v>0</x:v>
      </x:c>
      <x:c r="O14" s="15" t="n">
        <x:f>'Registro de vuelos'!C15</x:f>
        <x:v>0</x:v>
      </x:c>
      <x:c r="P14" s="15" t="n">
        <x:f>'Registro de vuelos'!E15</x:f>
        <x:v>0</x:v>
      </x:c>
      <x:c r="Q14" s="21" t="n">
        <x:f>'Registro de vuelos'!F15</x:f>
        <x:v>0</x:v>
      </x:c>
      <x:c r="R14" s="21" t="str">
        <x:f>IF(N14="","",IF(AND(COUNTIFS($N$3:$N$502,N14,$O$3:$O$502,O14,$P$3:$P$502,P14,$Q$3:$Q$502,"&gt;"&amp;Q14)=0,COUNTIFS($N$3:N14,N14,$O$3:O14,O14,$P$3:P14,P14,$Q$3:Q14,Q14)=1),1,0))</x:f>
      </x:c>
      <x:c r="S14" s="21" t="n">
        <x:f t="shared" si="0">IF(R14=1,Q14,0)</x:f>
        <x:v>0</x:v>
      </x:c>
      <x:c r="T14" s="15"/>
      <x:c r="U14" s="15"/>
      <x:c r="V14" s="15"/>
      <x:c r="W14" s="15"/>
      <x:c r="X14" s="15"/>
      <x:c r="Y14" s="15"/>
      <x:c r="Z14" s="14"/>
    </x:row>
    <x:row r="15" ht="11.100000381469727" customHeight="1">
      <x:c r="A15" s="16"/>
      <x:c r="B15" s="17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93" t="n">
        <x:f>'Registro de vuelos'!A16</x:f>
        <x:v>0</x:v>
      </x:c>
      <x:c r="O15" s="15" t="n">
        <x:f>'Registro de vuelos'!C16</x:f>
        <x:v>0</x:v>
      </x:c>
      <x:c r="P15" s="15" t="n">
        <x:f>'Registro de vuelos'!E16</x:f>
        <x:v>0</x:v>
      </x:c>
      <x:c r="Q15" s="21" t="n">
        <x:f>'Registro de vuelos'!F16</x:f>
        <x:v>0</x:v>
      </x:c>
      <x:c r="R15" s="21" t="str">
        <x:f>IF(N15="","",IF(AND(COUNTIFS($N$3:$N$502,N15,$O$3:$O$502,O15,$P$3:$P$502,P15,$Q$3:$Q$502,"&gt;"&amp;Q15)=0,COUNTIFS($N$3:N15,N15,$O$3:O15,O15,$P$3:P15,P15,$Q$3:Q15,Q15)=1),1,0))</x:f>
      </x:c>
      <x:c r="S15" s="21" t="n">
        <x:f t="shared" si="0">IF(R15=1,Q15,0)</x:f>
        <x:v>0</x:v>
      </x:c>
      <x:c r="T15" s="15"/>
      <x:c r="U15" s="15"/>
      <x:c r="V15" s="15"/>
      <x:c r="W15" s="15"/>
      <x:c r="X15" s="15"/>
      <x:c r="Y15" s="15"/>
      <x:c r="Z15" s="14"/>
    </x:row>
    <x:row r="16" ht="14.399999618530273" customHeight="1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93" t="n">
        <x:f>'Registro de vuelos'!A17</x:f>
        <x:v>0</x:v>
      </x:c>
      <x:c r="O16" s="15" t="n">
        <x:f>'Registro de vuelos'!C17</x:f>
        <x:v>0</x:v>
      </x:c>
      <x:c r="P16" s="15" t="n">
        <x:f>'Registro de vuelos'!E17</x:f>
        <x:v>0</x:v>
      </x:c>
      <x:c r="Q16" s="21" t="n">
        <x:f>'Registro de vuelos'!F17</x:f>
        <x:v>0</x:v>
      </x:c>
      <x:c r="R16" s="21" t="str">
        <x:f>IF(N16="","",IF(AND(COUNTIFS($N$3:$N$502,N16,$O$3:$O$502,O16,$P$3:$P$502,P16,$Q$3:$Q$502,"&gt;"&amp;Q16)=0,COUNTIFS($N$3:N16,N16,$O$3:O16,O16,$P$3:P16,P16,$Q$3:Q16,Q16)=1),1,0))</x:f>
      </x:c>
      <x:c r="S16" s="21" t="n">
        <x:f t="shared" si="0">IF(R16=1,Q16,0)</x:f>
        <x:v>0</x:v>
      </x:c>
      <x:c r="T16" s="15"/>
      <x:c r="U16" s="15"/>
      <x:c r="V16" s="15"/>
      <x:c r="W16" s="15"/>
      <x:c r="X16" s="15"/>
      <x:c r="Y16" s="15"/>
      <x:c r="Z16" s="14"/>
    </x:row>
    <x:row r="17" ht="14.399999618530273" customHeight="1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93" t="n">
        <x:f>'Registro de vuelos'!A18</x:f>
        <x:v>0</x:v>
      </x:c>
      <x:c r="O17" s="15" t="n">
        <x:f>'Registro de vuelos'!C18</x:f>
        <x:v>0</x:v>
      </x:c>
      <x:c r="P17" s="15" t="n">
        <x:f>'Registro de vuelos'!E18</x:f>
        <x:v>0</x:v>
      </x:c>
      <x:c r="Q17" s="21" t="n">
        <x:f>'Registro de vuelos'!F18</x:f>
        <x:v>0</x:v>
      </x:c>
      <x:c r="R17" s="21" t="str">
        <x:f>IF(N17="","",IF(AND(COUNTIFS($N$3:$N$502,N17,$O$3:$O$502,O17,$P$3:$P$502,P17,$Q$3:$Q$502,"&gt;"&amp;Q17)=0,COUNTIFS($N$3:N17,N17,$O$3:O17,O17,$P$3:P17,P17,$Q$3:Q17,Q17)=1),1,0))</x:f>
      </x:c>
      <x:c r="S17" s="21" t="n">
        <x:f t="shared" si="0">IF(R17=1,Q17,0)</x:f>
        <x:v>0</x:v>
      </x:c>
      <x:c r="T17" s="15"/>
      <x:c r="U17" s="15"/>
      <x:c r="V17" s="15"/>
      <x:c r="W17" s="15"/>
      <x:c r="X17" s="15"/>
      <x:c r="Y17" s="15"/>
      <x:c r="Z17" s="14"/>
    </x:row>
    <x:row r="18" ht="14.399999618530273" customHeight="1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93" t="n">
        <x:f>'Registro de vuelos'!A19</x:f>
        <x:v>0</x:v>
      </x:c>
      <x:c r="O18" s="15" t="n">
        <x:f>'Registro de vuelos'!C19</x:f>
        <x:v>0</x:v>
      </x:c>
      <x:c r="P18" s="15" t="n">
        <x:f>'Registro de vuelos'!E19</x:f>
        <x:v>0</x:v>
      </x:c>
      <x:c r="Q18" s="21" t="n">
        <x:f>'Registro de vuelos'!F19</x:f>
        <x:v>0</x:v>
      </x:c>
      <x:c r="R18" s="21" t="str">
        <x:f>IF(N18="","",IF(AND(COUNTIFS($N$3:$N$502,N18,$O$3:$O$502,O18,$P$3:$P$502,P18,$Q$3:$Q$502,"&gt;"&amp;Q18)=0,COUNTIFS($N$3:N18,N18,$O$3:O18,O18,$P$3:P18,P18,$Q$3:Q18,Q18)=1),1,0))</x:f>
      </x:c>
      <x:c r="S18" s="21" t="n">
        <x:f t="shared" si="0">IF(R18=1,Q18,0)</x:f>
        <x:v>0</x:v>
      </x:c>
      <x:c r="T18" s="15"/>
      <x:c r="U18" s="15"/>
      <x:c r="V18" s="15"/>
      <x:c r="W18" s="15"/>
      <x:c r="X18" s="15"/>
      <x:c r="Y18" s="15"/>
      <x:c r="Z18" s="14"/>
    </x:row>
    <x:row r="19" ht="14.399999618530273" customHeight="1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93" t="n">
        <x:f>'Registro de vuelos'!A20</x:f>
        <x:v>0</x:v>
      </x:c>
      <x:c r="O19" s="15" t="n">
        <x:f>'Registro de vuelos'!C20</x:f>
        <x:v>0</x:v>
      </x:c>
      <x:c r="P19" s="15" t="n">
        <x:f>'Registro de vuelos'!E20</x:f>
        <x:v>0</x:v>
      </x:c>
      <x:c r="Q19" s="21" t="n">
        <x:f>'Registro de vuelos'!F20</x:f>
        <x:v>0</x:v>
      </x:c>
      <x:c r="R19" s="21" t="str">
        <x:f>IF(N19="","",IF(AND(COUNTIFS($N$3:$N$502,N19,$O$3:$O$502,O19,$P$3:$P$502,P19,$Q$3:$Q$502,"&gt;"&amp;Q19)=0,COUNTIFS($N$3:N19,N19,$O$3:O19,O19,$P$3:P19,P19,$Q$3:Q19,Q19)=1),1,0))</x:f>
      </x:c>
      <x:c r="S19" s="21" t="n">
        <x:f t="shared" si="0">IF(R19=1,Q19,0)</x:f>
        <x:v>0</x:v>
      </x:c>
      <x:c r="T19" s="15"/>
      <x:c r="U19" s="15"/>
      <x:c r="V19" s="15"/>
      <x:c r="W19" s="15"/>
      <x:c r="X19" s="15"/>
      <x:c r="Y19" s="15"/>
      <x:c r="Z19" s="14"/>
    </x:row>
    <x:row r="20" ht="14.399999618530273" customHeight="1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93" t="n">
        <x:f>'Registro de vuelos'!A21</x:f>
        <x:v>0</x:v>
      </x:c>
      <x:c r="O20" s="15" t="n">
        <x:f>'Registro de vuelos'!C21</x:f>
        <x:v>0</x:v>
      </x:c>
      <x:c r="P20" s="15" t="n">
        <x:f>'Registro de vuelos'!E21</x:f>
        <x:v>0</x:v>
      </x:c>
      <x:c r="Q20" s="21" t="n">
        <x:f>'Registro de vuelos'!F21</x:f>
        <x:v>0</x:v>
      </x:c>
      <x:c r="R20" s="21" t="str">
        <x:f>IF(N20="","",IF(AND(COUNTIFS($N$3:$N$502,N20,$O$3:$O$502,O20,$P$3:$P$502,P20,$Q$3:$Q$502,"&gt;"&amp;Q20)=0,COUNTIFS($N$3:N20,N20,$O$3:O20,O20,$P$3:P20,P20,$Q$3:Q20,Q20)=1),1,0))</x:f>
      </x:c>
      <x:c r="S20" s="21" t="n">
        <x:f t="shared" si="0">IF(R20=1,Q20,0)</x:f>
        <x:v>0</x:v>
      </x:c>
      <x:c r="T20" s="15"/>
      <x:c r="U20" s="15"/>
      <x:c r="V20" s="15"/>
      <x:c r="W20" s="15"/>
      <x:c r="X20" s="15"/>
      <x:c r="Y20" s="15"/>
      <x:c r="Z20" s="14"/>
    </x:row>
    <x:row r="21" ht="14.399999618530273" customHeight="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93" t="n">
        <x:f>'Registro de vuelos'!A22</x:f>
        <x:v>0</x:v>
      </x:c>
      <x:c r="O21" s="15" t="n">
        <x:f>'Registro de vuelos'!C22</x:f>
        <x:v>0</x:v>
      </x:c>
      <x:c r="P21" s="15" t="n">
        <x:f>'Registro de vuelos'!E22</x:f>
        <x:v>0</x:v>
      </x:c>
      <x:c r="Q21" s="21" t="n">
        <x:f>'Registro de vuelos'!F22</x:f>
        <x:v>0</x:v>
      </x:c>
      <x:c r="R21" s="21" t="str">
        <x:f>IF(N21="","",IF(AND(COUNTIFS($N$3:$N$502,N21,$O$3:$O$502,O21,$P$3:$P$502,P21,$Q$3:$Q$502,"&gt;"&amp;Q21)=0,COUNTIFS($N$3:N21,N21,$O$3:O21,O21,$P$3:P21,P21,$Q$3:Q21,Q21)=1),1,0))</x:f>
      </x:c>
      <x:c r="S21" s="21" t="n">
        <x:f t="shared" si="0">IF(R21=1,Q21,0)</x:f>
        <x:v>0</x:v>
      </x:c>
      <x:c r="T21" s="15"/>
      <x:c r="U21" s="15"/>
      <x:c r="V21" s="15"/>
      <x:c r="W21" s="15"/>
      <x:c r="X21" s="15"/>
      <x:c r="Y21" s="15"/>
      <x:c r="Z21" s="14"/>
    </x:row>
    <x:row r="22" ht="14.399999618530273" customHeight="1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93" t="n">
        <x:f>'Registro de vuelos'!A23</x:f>
        <x:v>0</x:v>
      </x:c>
      <x:c r="O22" s="15" t="n">
        <x:f>'Registro de vuelos'!C23</x:f>
        <x:v>0</x:v>
      </x:c>
      <x:c r="P22" s="15" t="n">
        <x:f>'Registro de vuelos'!E23</x:f>
        <x:v>0</x:v>
      </x:c>
      <x:c r="Q22" s="21" t="n">
        <x:f>'Registro de vuelos'!F23</x:f>
        <x:v>0</x:v>
      </x:c>
      <x:c r="R22" s="21" t="str">
        <x:f>IF(N22="","",IF(AND(COUNTIFS($N$3:$N$502,N22,$O$3:$O$502,O22,$P$3:$P$502,P22,$Q$3:$Q$502,"&gt;"&amp;Q22)=0,COUNTIFS($N$3:N22,N22,$O$3:O22,O22,$P$3:P22,P22,$Q$3:Q22,Q22)=1),1,0))</x:f>
      </x:c>
      <x:c r="S22" s="21" t="n">
        <x:f t="shared" si="0">IF(R22=1,Q22,0)</x:f>
        <x:v>0</x:v>
      </x:c>
      <x:c r="T22" s="15"/>
      <x:c r="U22" s="15"/>
      <x:c r="V22" s="15"/>
      <x:c r="W22" s="15"/>
      <x:c r="X22" s="15"/>
      <x:c r="Y22" s="15"/>
      <x:c r="Z22" s="14"/>
    </x:row>
    <x:row r="23" ht="14.399999618530273" customHeight="1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93" t="n">
        <x:f>'Registro de vuelos'!A24</x:f>
        <x:v>0</x:v>
      </x:c>
      <x:c r="O23" s="15" t="n">
        <x:f>'Registro de vuelos'!C24</x:f>
        <x:v>0</x:v>
      </x:c>
      <x:c r="P23" s="15" t="n">
        <x:f>'Registro de vuelos'!E24</x:f>
        <x:v>0</x:v>
      </x:c>
      <x:c r="Q23" s="21" t="n">
        <x:f>'Registro de vuelos'!F24</x:f>
        <x:v>0</x:v>
      </x:c>
      <x:c r="R23" s="21" t="str">
        <x:f>IF(N23="","",IF(AND(COUNTIFS($N$3:$N$502,N23,$O$3:$O$502,O23,$P$3:$P$502,P23,$Q$3:$Q$502,"&gt;"&amp;Q23)=0,COUNTIFS($N$3:N23,N23,$O$3:O23,O23,$P$3:P23,P23,$Q$3:Q23,Q23)=1),1,0))</x:f>
      </x:c>
      <x:c r="S23" s="21" t="n">
        <x:f t="shared" si="0">IF(R23=1,Q23,0)</x:f>
        <x:v>0</x:v>
      </x:c>
      <x:c r="T23" s="15"/>
      <x:c r="U23" s="15"/>
      <x:c r="V23" s="15"/>
      <x:c r="W23" s="15"/>
      <x:c r="X23" s="15"/>
      <x:c r="Y23" s="15"/>
      <x:c r="Z23" s="14"/>
    </x:row>
    <x:row r="24" ht="14.399999618530273" customHeight="1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93" t="n">
        <x:f>'Registro de vuelos'!A25</x:f>
        <x:v>0</x:v>
      </x:c>
      <x:c r="O24" s="15" t="n">
        <x:f>'Registro de vuelos'!C25</x:f>
        <x:v>0</x:v>
      </x:c>
      <x:c r="P24" s="15" t="n">
        <x:f>'Registro de vuelos'!E25</x:f>
        <x:v>0</x:v>
      </x:c>
      <x:c r="Q24" s="21" t="n">
        <x:f>'Registro de vuelos'!F25</x:f>
        <x:v>0</x:v>
      </x:c>
      <x:c r="R24" s="21" t="str">
        <x:f>IF(N24="","",IF(AND(COUNTIFS($N$3:$N$502,N24,$O$3:$O$502,O24,$P$3:$P$502,P24,$Q$3:$Q$502,"&gt;"&amp;Q24)=0,COUNTIFS($N$3:N24,N24,$O$3:O24,O24,$P$3:P24,P24,$Q$3:Q24,Q24)=1),1,0))</x:f>
      </x:c>
      <x:c r="S24" s="21" t="n">
        <x:f t="shared" si="0">IF(R24=1,Q24,0)</x:f>
        <x:v>0</x:v>
      </x:c>
      <x:c r="T24" s="15"/>
      <x:c r="U24" s="15"/>
      <x:c r="V24" s="15"/>
      <x:c r="W24" s="15"/>
      <x:c r="X24" s="15"/>
      <x:c r="Y24" s="15"/>
      <x:c r="Z24" s="14"/>
    </x:row>
    <x:row r="25" ht="14.399999618530273" customHeight="1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93" t="n">
        <x:f>'Registro de vuelos'!A26</x:f>
        <x:v>0</x:v>
      </x:c>
      <x:c r="O25" s="15" t="n">
        <x:f>'Registro de vuelos'!C26</x:f>
        <x:v>0</x:v>
      </x:c>
      <x:c r="P25" s="15" t="n">
        <x:f>'Registro de vuelos'!E26</x:f>
        <x:v>0</x:v>
      </x:c>
      <x:c r="Q25" s="21" t="n">
        <x:f>'Registro de vuelos'!F26</x:f>
        <x:v>0</x:v>
      </x:c>
      <x:c r="R25" s="21" t="str">
        <x:f>IF(N25="","",IF(AND(COUNTIFS($N$3:$N$502,N25,$O$3:$O$502,O25,$P$3:$P$502,P25,$Q$3:$Q$502,"&gt;"&amp;Q25)=0,COUNTIFS($N$3:N25,N25,$O$3:O25,O25,$P$3:P25,P25,$Q$3:Q25,Q25)=1),1,0))</x:f>
      </x:c>
      <x:c r="S25" s="21" t="n">
        <x:f t="shared" si="0">IF(R25=1,Q25,0)</x:f>
        <x:v>0</x:v>
      </x:c>
      <x:c r="T25" s="15"/>
      <x:c r="U25" s="15"/>
      <x:c r="V25" s="15"/>
      <x:c r="W25" s="15"/>
      <x:c r="X25" s="15"/>
      <x:c r="Y25" s="15"/>
      <x:c r="Z25" s="14"/>
    </x:row>
    <x:row r="26" ht="14.399999618530273" customHeight="1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93" t="n">
        <x:f>'Registro de vuelos'!A27</x:f>
        <x:v>0</x:v>
      </x:c>
      <x:c r="O26" s="15" t="n">
        <x:f>'Registro de vuelos'!C27</x:f>
        <x:v>0</x:v>
      </x:c>
      <x:c r="P26" s="15" t="n">
        <x:f>'Registro de vuelos'!E27</x:f>
        <x:v>0</x:v>
      </x:c>
      <x:c r="Q26" s="21" t="n">
        <x:f>'Registro de vuelos'!F27</x:f>
        <x:v>0</x:v>
      </x:c>
      <x:c r="R26" s="21" t="str">
        <x:f>IF(N26="","",IF(AND(COUNTIFS($N$3:$N$502,N26,$O$3:$O$502,O26,$P$3:$P$502,P26,$Q$3:$Q$502,"&gt;"&amp;Q26)=0,COUNTIFS($N$3:N26,N26,$O$3:O26,O26,$P$3:P26,P26,$Q$3:Q26,Q26)=1),1,0))</x:f>
      </x:c>
      <x:c r="S26" s="21" t="n">
        <x:f t="shared" si="0">IF(R26=1,Q26,0)</x:f>
        <x:v>0</x:v>
      </x:c>
      <x:c r="T26" s="15"/>
      <x:c r="U26" s="15"/>
      <x:c r="V26" s="15"/>
      <x:c r="W26" s="15"/>
      <x:c r="X26" s="15"/>
      <x:c r="Y26" s="15"/>
      <x:c r="Z26" s="14"/>
    </x:row>
    <x:row r="27" ht="14.399999618530273" customHeight="1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93" t="n">
        <x:f>'Registro de vuelos'!A28</x:f>
        <x:v>0</x:v>
      </x:c>
      <x:c r="O27" s="15" t="n">
        <x:f>'Registro de vuelos'!C28</x:f>
        <x:v>0</x:v>
      </x:c>
      <x:c r="P27" s="15" t="n">
        <x:f>'Registro de vuelos'!E28</x:f>
        <x:v>0</x:v>
      </x:c>
      <x:c r="Q27" s="21" t="n">
        <x:f>'Registro de vuelos'!F28</x:f>
        <x:v>0</x:v>
      </x:c>
      <x:c r="R27" s="21" t="str">
        <x:f>IF(N27="","",IF(AND(COUNTIFS($N$3:$N$502,N27,$O$3:$O$502,O27,$P$3:$P$502,P27,$Q$3:$Q$502,"&gt;"&amp;Q27)=0,COUNTIFS($N$3:N27,N27,$O$3:O27,O27,$P$3:P27,P27,$Q$3:Q27,Q27)=1),1,0))</x:f>
      </x:c>
      <x:c r="S27" s="21" t="n">
        <x:f t="shared" si="0">IF(R27=1,Q27,0)</x:f>
        <x:v>0</x:v>
      </x:c>
      <x:c r="T27" s="15"/>
      <x:c r="U27" s="15"/>
      <x:c r="V27" s="15"/>
      <x:c r="W27" s="15"/>
      <x:c r="X27" s="15"/>
      <x:c r="Y27" s="15"/>
      <x:c r="Z27" s="14"/>
    </x:row>
    <x:row r="28" ht="14.399999618530273" customHeight="1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93" t="n">
        <x:f>'Registro de vuelos'!A29</x:f>
        <x:v>0</x:v>
      </x:c>
      <x:c r="O28" s="15" t="n">
        <x:f>'Registro de vuelos'!C29</x:f>
        <x:v>0</x:v>
      </x:c>
      <x:c r="P28" s="15" t="n">
        <x:f>'Registro de vuelos'!E29</x:f>
        <x:v>0</x:v>
      </x:c>
      <x:c r="Q28" s="21" t="n">
        <x:f>'Registro de vuelos'!F29</x:f>
        <x:v>0</x:v>
      </x:c>
      <x:c r="R28" s="21" t="str">
        <x:f>IF(N28="","",IF(AND(COUNTIFS($N$3:$N$502,N28,$O$3:$O$502,O28,$P$3:$P$502,P28,$Q$3:$Q$502,"&gt;"&amp;Q28)=0,COUNTIFS($N$3:N28,N28,$O$3:O28,O28,$P$3:P28,P28,$Q$3:Q28,Q28)=1),1,0))</x:f>
      </x:c>
      <x:c r="S28" s="21" t="n">
        <x:f t="shared" si="0">IF(R28=1,Q28,0)</x:f>
        <x:v>0</x:v>
      </x:c>
      <x:c r="T28" s="15"/>
      <x:c r="U28" s="15"/>
      <x:c r="V28" s="15"/>
      <x:c r="W28" s="15"/>
      <x:c r="X28" s="15"/>
      <x:c r="Y28" s="15"/>
      <x:c r="Z28" s="14"/>
    </x:row>
    <x:row r="29" ht="14.399999618530273" customHeight="1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93" t="n">
        <x:f>'Registro de vuelos'!A30</x:f>
        <x:v>0</x:v>
      </x:c>
      <x:c r="O29" s="15" t="n">
        <x:f>'Registro de vuelos'!C30</x:f>
        <x:v>0</x:v>
      </x:c>
      <x:c r="P29" s="15" t="n">
        <x:f>'Registro de vuelos'!E30</x:f>
        <x:v>0</x:v>
      </x:c>
      <x:c r="Q29" s="21" t="n">
        <x:f>'Registro de vuelos'!F30</x:f>
        <x:v>0</x:v>
      </x:c>
      <x:c r="R29" s="21" t="str">
        <x:f>IF(N29="","",IF(AND(COUNTIFS($N$3:$N$502,N29,$O$3:$O$502,O29,$P$3:$P$502,P29,$Q$3:$Q$502,"&gt;"&amp;Q29)=0,COUNTIFS($N$3:N29,N29,$O$3:O29,O29,$P$3:P29,P29,$Q$3:Q29,Q29)=1),1,0))</x:f>
      </x:c>
      <x:c r="S29" s="21" t="n">
        <x:f t="shared" si="0">IF(R29=1,Q29,0)</x:f>
        <x:v>0</x:v>
      </x:c>
      <x:c r="T29" s="15"/>
      <x:c r="U29" s="15"/>
      <x:c r="V29" s="15"/>
      <x:c r="W29" s="15"/>
      <x:c r="X29" s="15"/>
      <x:c r="Y29" s="15"/>
      <x:c r="Z29" s="14"/>
    </x:row>
    <x:row r="30" ht="24" customHeight="1">
      <x:c r="A30" s="62" t="s">
        <x:v>25</x:v>
      </x:c>
      <x:c r="B30" s="42"/>
      <x:c r="C30" s="42"/>
      <x:c r="D30" s="42"/>
      <x:c r="E30" s="42"/>
      <x:c r="F30" s="42"/>
      <x:c r="G30" s="62" t="s">
        <x:v>26</x:v>
      </x:c>
      <x:c r="H30" s="42"/>
      <x:c r="I30" s="42"/>
      <x:c r="J30" s="42"/>
      <x:c r="K30" s="42"/>
      <x:c r="L30" s="42"/>
      <x:c r="M30" s="14"/>
      <x:c r="N30" s="93" t="n">
        <x:f>'Registro de vuelos'!A31</x:f>
        <x:v>0</x:v>
      </x:c>
      <x:c r="O30" s="15" t="n">
        <x:f>'Registro de vuelos'!C31</x:f>
        <x:v>0</x:v>
      </x:c>
      <x:c r="P30" s="15" t="n">
        <x:f>'Registro de vuelos'!E31</x:f>
        <x:v>0</x:v>
      </x:c>
      <x:c r="Q30" s="21" t="n">
        <x:f>'Registro de vuelos'!F31</x:f>
        <x:v>0</x:v>
      </x:c>
      <x:c r="R30" s="21" t="str">
        <x:f>IF(N30="","",IF(AND(COUNTIFS($N$3:$N$502,N30,$O$3:$O$502,O30,$P$3:$P$502,P30,$Q$3:$Q$502,"&gt;"&amp;Q30)=0,COUNTIFS($N$3:N30,N30,$O$3:O30,O30,$P$3:P30,P30,$Q$3:Q30,Q30)=1),1,0))</x:f>
      </x:c>
      <x:c r="S30" s="21" t="n">
        <x:f t="shared" si="0">IF(R30=1,Q30,0)</x:f>
        <x:v>0</x:v>
      </x:c>
      <x:c r="T30" s="15"/>
      <x:c r="U30" s="15"/>
      <x:c r="V30" s="15"/>
      <x:c r="W30" s="15"/>
      <x:c r="X30" s="15"/>
      <x:c r="Y30" s="15"/>
      <x:c r="Z30" s="14"/>
    </x:row>
    <x:row r="31" ht="24" customHeight="1">
      <x:c r="A31" s="63" t="s">
        <x:v>27</x:v>
      </x:c>
      <x:c r="B31" s="49"/>
      <x:c r="C31" s="49"/>
      <x:c r="D31" s="47"/>
      <x:c r="E31" s="63" t="s">
        <x:v>28</x:v>
      </x:c>
      <x:c r="F31" s="47"/>
      <x:c r="G31" s="63" t="s">
        <x:v>29</x:v>
      </x:c>
      <x:c r="H31" s="49"/>
      <x:c r="I31" s="49"/>
      <x:c r="J31" s="47"/>
      <x:c r="K31" s="63" t="s">
        <x:v>28</x:v>
      </x:c>
      <x:c r="L31" s="47"/>
      <x:c r="M31" s="14"/>
      <x:c r="N31" s="93" t="n">
        <x:f>'Registro de vuelos'!A32</x:f>
        <x:v>0</x:v>
      </x:c>
      <x:c r="O31" s="15" t="n">
        <x:f>'Registro de vuelos'!C32</x:f>
        <x:v>0</x:v>
      </x:c>
      <x:c r="P31" s="15" t="n">
        <x:f>'Registro de vuelos'!E32</x:f>
        <x:v>0</x:v>
      </x:c>
      <x:c r="Q31" s="21" t="n">
        <x:f>'Registro de vuelos'!F32</x:f>
        <x:v>0</x:v>
      </x:c>
      <x:c r="R31" s="21" t="str">
        <x:f>IF(N31="","",IF(AND(COUNTIFS($N$3:$N$502,N31,$O$3:$O$502,O31,$P$3:$P$502,P31,$Q$3:$Q$502,"&gt;"&amp;Q31)=0,COUNTIFS($N$3:N31,N31,$O$3:O31,O31,$P$3:P31,P31,$Q$3:Q31,Q31)=1),1,0))</x:f>
      </x:c>
      <x:c r="S31" s="21" t="n">
        <x:f t="shared" si="0">IF(R31=1,Q31,0)</x:f>
        <x:v>0</x:v>
      </x:c>
      <x:c r="T31" s="15"/>
      <x:c r="U31" s="15"/>
      <x:c r="V31" s="15"/>
      <x:c r="W31" s="15"/>
      <x:c r="X31" s="15"/>
      <x:c r="Y31" s="15"/>
      <x:c r="Z31" s="14"/>
    </x:row>
    <x:row r="32" ht="22.049999237060547" customHeight="1">
      <x:c r="A32" s="48" t="s">
        <x:v>30</x:v>
      </x:c>
      <x:c r="B32" s="49"/>
      <x:c r="C32" s="49"/>
      <x:c r="D32" s="47"/>
      <x:c r="E32" s="46" t="n">
        <x:f ca="1">COUNTIFS('Registro de vuelos'!$A$4:$A$497,"&gt;="&amp;DATE(YEAR(TODAY()),MONTH(TODAY()),1),'Registro de vuelos'!$A$4:$A$497,"&lt;"&amp;DATE(YEAR(TODAY()),MONTH(TODAY())+1,1))</x:f>
        <x:v>0</x:v>
      </x:c>
      <x:c r="F32" s="47"/>
      <x:c r="G32" s="48" t="str">
        <x:f>Maestros!J4</x:f>
        <x:v>Clima Adverso</x:v>
      </x:c>
      <x:c r="H32" s="49"/>
      <x:c r="I32" s="49"/>
      <x:c r="J32" s="47"/>
      <x:c r="K32" s="46" t="n">
        <x:f ca="1">COUNTIFS('Registro de vuelos'!$A$4:$A$497,"&gt;="&amp;DATE(YEAR(TODAY()),MONTH(TODAY()),1),'Registro de vuelos'!$A$4:$A$497,"&lt;"&amp;DATE(YEAR(TODAY()),MONTH(TODAY())+1,1),'Registro de vuelos'!$F$4:$F$497,0,'Registro de vuelos'!$G$4:$G$497,G32)</x:f>
        <x:v>0</x:v>
      </x:c>
      <x:c r="L32" s="47"/>
      <x:c r="M32" s="14"/>
      <x:c r="N32" s="93" t="n">
        <x:f>'Registro de vuelos'!A33</x:f>
        <x:v>0</x:v>
      </x:c>
      <x:c r="O32" s="15" t="n">
        <x:f>'Registro de vuelos'!C33</x:f>
        <x:v>0</x:v>
      </x:c>
      <x:c r="P32" s="15" t="n">
        <x:f>'Registro de vuelos'!E33</x:f>
        <x:v>0</x:v>
      </x:c>
      <x:c r="Q32" s="21" t="n">
        <x:f>'Registro de vuelos'!F33</x:f>
        <x:v>0</x:v>
      </x:c>
      <x:c r="R32" s="21" t="str">
        <x:f>IF(N32="","",IF(AND(COUNTIFS($N$3:$N$502,N32,$O$3:$O$502,O32,$P$3:$P$502,P32,$Q$3:$Q$502,"&gt;"&amp;Q32)=0,COUNTIFS($N$3:N32,N32,$O$3:O32,O32,$P$3:P32,P32,$Q$3:Q32,Q32)=1),1,0))</x:f>
      </x:c>
      <x:c r="S32" s="21" t="n">
        <x:f t="shared" si="0">IF(R32=1,Q32,0)</x:f>
        <x:v>0</x:v>
      </x:c>
      <x:c r="T32" s="15"/>
      <x:c r="U32" s="15"/>
      <x:c r="V32" s="15"/>
      <x:c r="W32" s="15"/>
      <x:c r="X32" s="15"/>
      <x:c r="Y32" s="15"/>
      <x:c r="Z32" s="14"/>
    </x:row>
    <x:row r="33" ht="22.049999237060547" customHeight="1">
      <x:c r="A33" s="48" t="s">
        <x:v>31</x:v>
      </x:c>
      <x:c r="B33" s="49"/>
      <x:c r="C33" s="49"/>
      <x:c r="D33" s="47"/>
      <x:c r="E33" s="46" t="n">
        <x:f ca="1">COUNTIFS('Registro de vuelos'!$A$4:$A$497,"&gt;="&amp;DATE(YEAR(TODAY()),MONTH(TODAY()),1),'Registro de vuelos'!$A$4:$A$497,"&lt;"&amp;DATE(YEAR(TODAY()),MONTH(TODAY())+1,1),'Registro de vuelos'!$F$4:$F$497,"&gt;0")</x:f>
        <x:v>0</x:v>
      </x:c>
      <x:c r="F33" s="47"/>
      <x:c r="G33" s="48" t="str">
        <x:f>Maestros!J6</x:f>
        <x:v>Seguridad</x:v>
      </x:c>
      <x:c r="H33" s="49"/>
      <x:c r="I33" s="49"/>
      <x:c r="J33" s="47"/>
      <x:c r="K33" s="46" t="n">
        <x:f ca="1">COUNTIFS('Registro de vuelos'!$A$4:$A$497,"&gt;="&amp;DATE(YEAR(TODAY()),MONTH(TODAY()),1),'Registro de vuelos'!$A$4:$A$497,"&lt;"&amp;DATE(YEAR(TODAY()),MONTH(TODAY())+1,1),'Registro de vuelos'!$F$4:$F$497,0,'Registro de vuelos'!$G$4:$G$497,G33)</x:f>
        <x:v>0</x:v>
      </x:c>
      <x:c r="L33" s="47"/>
      <x:c r="M33" s="14"/>
      <x:c r="N33" s="93" t="n">
        <x:f>'Registro de vuelos'!A34</x:f>
        <x:v>0</x:v>
      </x:c>
      <x:c r="O33" s="15" t="n">
        <x:f>'Registro de vuelos'!C34</x:f>
        <x:v>0</x:v>
      </x:c>
      <x:c r="P33" s="15" t="n">
        <x:f>'Registro de vuelos'!E34</x:f>
        <x:v>0</x:v>
      </x:c>
      <x:c r="Q33" s="21" t="n">
        <x:f>'Registro de vuelos'!F34</x:f>
        <x:v>0</x:v>
      </x:c>
      <x:c r="R33" s="21" t="str">
        <x:f>IF(N33="","",IF(AND(COUNTIFS($N$3:$N$502,N33,$O$3:$O$502,O33,$P$3:$P$502,P33,$Q$3:$Q$502,"&gt;"&amp;Q33)=0,COUNTIFS($N$3:N33,N33,$O$3:O33,O33,$P$3:P33,P33,$Q$3:Q33,Q33)=1),1,0))</x:f>
      </x:c>
      <x:c r="S33" s="21" t="n">
        <x:f t="shared" si="0">IF(R33=1,Q33,0)</x:f>
        <x:v>0</x:v>
      </x:c>
      <x:c r="T33" s="15"/>
      <x:c r="U33" s="15"/>
      <x:c r="V33" s="15"/>
      <x:c r="W33" s="15"/>
      <x:c r="X33" s="15"/>
      <x:c r="Y33" s="15"/>
      <x:c r="Z33" s="14"/>
    </x:row>
    <x:row r="34" ht="22.049999237060547" customHeight="1">
      <x:c r="A34" s="48" t="s">
        <x:v>32</x:v>
      </x:c>
      <x:c r="B34" s="49"/>
      <x:c r="C34" s="49"/>
      <x:c r="D34" s="47"/>
      <x:c r="E34" s="46" t="n">
        <x:f ca="1">COUNTIFS('Registro de vuelos'!$A$4:$A$497,"&gt;="&amp;DATE(YEAR(TODAY()),MONTH(TODAY()),1),'Registro de vuelos'!$A$4:$A$497,"&lt;"&amp;DATE(YEAR(TODAY()),MONTH(TODAY())+1,1),'Registro de vuelos'!$F$4:$F$497,0)</x:f>
        <x:v>0</x:v>
      </x:c>
      <x:c r="F34" s="47"/>
      <x:c r="G34" s="48" t="str">
        <x:f>Maestros!J7</x:f>
        <x:v>Operacional</x:v>
      </x:c>
      <x:c r="H34" s="49"/>
      <x:c r="I34" s="49"/>
      <x:c r="J34" s="47"/>
      <x:c r="K34" s="46" t="n">
        <x:f ca="1">COUNTIFS('Registro de vuelos'!$A$4:$A$497,"&gt;="&amp;DATE(YEAR(TODAY()),MONTH(TODAY()),1),'Registro de vuelos'!$A$4:$A$497,"&lt;"&amp;DATE(YEAR(TODAY()),MONTH(TODAY())+1,1),'Registro de vuelos'!$F$4:$F$497,0,'Registro de vuelos'!$G$4:$G$497,G34)</x:f>
        <x:v>0</x:v>
      </x:c>
      <x:c r="L34" s="47"/>
      <x:c r="M34" s="14"/>
      <x:c r="N34" s="93" t="n">
        <x:f>'Registro de vuelos'!A35</x:f>
        <x:v>0</x:v>
      </x:c>
      <x:c r="O34" s="15" t="n">
        <x:f>'Registro de vuelos'!C35</x:f>
        <x:v>0</x:v>
      </x:c>
      <x:c r="P34" s="15" t="n">
        <x:f>'Registro de vuelos'!E35</x:f>
        <x:v>0</x:v>
      </x:c>
      <x:c r="Q34" s="21" t="n">
        <x:f>'Registro de vuelos'!F35</x:f>
        <x:v>0</x:v>
      </x:c>
      <x:c r="R34" s="21" t="str">
        <x:f>IF(N34="","",IF(AND(COUNTIFS($N$3:$N$502,N34,$O$3:$O$502,O34,$P$3:$P$502,P34,$Q$3:$Q$502,"&gt;"&amp;Q34)=0,COUNTIFS($N$3:N34,N34,$O$3:O34,O34,$P$3:P34,P34,$Q$3:Q34,Q34)=1),1,0))</x:f>
      </x:c>
      <x:c r="S34" s="21" t="n">
        <x:f t="shared" si="0">IF(R34=1,Q34,0)</x:f>
        <x:v>0</x:v>
      </x:c>
      <x:c r="T34" s="15"/>
      <x:c r="U34" s="15"/>
      <x:c r="V34" s="15"/>
      <x:c r="W34" s="15"/>
      <x:c r="X34" s="15"/>
      <x:c r="Y34" s="15"/>
      <x:c r="Z34" s="14"/>
    </x:row>
    <x:row r="35" ht="22.049999237060547" customHeight="1">
      <x:c r="A35" s="48" t="s">
        <x:v>33</x:v>
      </x:c>
      <x:c r="B35" s="49"/>
      <x:c r="C35" s="49"/>
      <x:c r="D35" s="47"/>
      <x:c r="E35" s="46" t="n">
        <x:f ca="1">COUNTIFS('Registro de vuelos'!$A$4:$A$497,"&gt;="&amp;DATE(YEAR(TODAY()),MONTH(TODAY()),1),'Registro de vuelos'!$A$4:$A$497,"&lt;"&amp;DATE(YEAR(TODAY()),MONTH(TODAY())+1,1),'Registro de vuelos'!$H$4:$H$497,"Sí")</x:f>
        <x:v>0</x:v>
      </x:c>
      <x:c r="F35" s="47"/>
      <x:c r="G35" s="48" t="str">
        <x:f>Maestros!J8</x:f>
        <x:v>Otro</x:v>
      </x:c>
      <x:c r="H35" s="49"/>
      <x:c r="I35" s="49"/>
      <x:c r="J35" s="47"/>
      <x:c r="K35" s="46" t="n">
        <x:f ca="1">COUNTIFS('Registro de vuelos'!$A$4:$A$497,"&gt;="&amp;DATE(YEAR(TODAY()),MONTH(TODAY()),1),'Registro de vuelos'!$A$4:$A$497,"&lt;"&amp;DATE(YEAR(TODAY()),MONTH(TODAY())+1,1),'Registro de vuelos'!$F$4:$F$497,0,'Registro de vuelos'!$G$4:$G$497,G35)</x:f>
        <x:v>0</x:v>
      </x:c>
      <x:c r="L35" s="47"/>
      <x:c r="M35" s="14"/>
      <x:c r="N35" s="93" t="n">
        <x:f>'Registro de vuelos'!A36</x:f>
        <x:v>0</x:v>
      </x:c>
      <x:c r="O35" s="15" t="n">
        <x:f>'Registro de vuelos'!C36</x:f>
        <x:v>0</x:v>
      </x:c>
      <x:c r="P35" s="15" t="n">
        <x:f>'Registro de vuelos'!E36</x:f>
        <x:v>0</x:v>
      </x:c>
      <x:c r="Q35" s="21" t="n">
        <x:f>'Registro de vuelos'!F36</x:f>
        <x:v>0</x:v>
      </x:c>
      <x:c r="R35" s="21" t="str">
        <x:f>IF(N35="","",IF(AND(COUNTIFS($N$3:$N$502,N35,$O$3:$O$502,O35,$P$3:$P$502,P35,$Q$3:$Q$502,"&gt;"&amp;Q35)=0,COUNTIFS($N$3:N35,N35,$O$3:O35,O35,$P$3:P35,P35,$Q$3:Q35,Q35)=1),1,0))</x:f>
      </x:c>
      <x:c r="S35" s="21" t="n">
        <x:f t="shared" si="0">IF(R35=1,Q35,0)</x:f>
        <x:v>0</x:v>
      </x:c>
      <x:c r="T35" s="15"/>
      <x:c r="U35" s="15"/>
      <x:c r="V35" s="15"/>
      <x:c r="W35" s="15"/>
      <x:c r="X35" s="15"/>
      <x:c r="Y35" s="15"/>
      <x:c r="Z35" s="14"/>
    </x:row>
    <x:row r="36" ht="14.399999618530273" customHeight="1">
      <x:c r="A36" s="14"/>
      <x:c r="B36" s="14"/>
      <x:c r="C36" s="14"/>
      <x:c r="D36" s="20"/>
      <x:c r="E36" s="20"/>
      <x:c r="F36" s="20"/>
      <x:c r="G36" s="73"/>
      <x:c r="H36" s="42"/>
      <x:c r="I36" s="42"/>
      <x:c r="J36" s="42"/>
      <x:c r="K36" s="61"/>
      <x:c r="L36" s="42"/>
      <x:c r="M36" s="14"/>
      <x:c r="N36" s="93" t="n">
        <x:f>'Registro de vuelos'!A37</x:f>
        <x:v>0</x:v>
      </x:c>
      <x:c r="O36" s="15" t="n">
        <x:f>'Registro de vuelos'!C37</x:f>
        <x:v>0</x:v>
      </x:c>
      <x:c r="P36" s="15" t="n">
        <x:f>'Registro de vuelos'!E37</x:f>
        <x:v>0</x:v>
      </x:c>
      <x:c r="Q36" s="21" t="n">
        <x:f>'Registro de vuelos'!F37</x:f>
        <x:v>0</x:v>
      </x:c>
      <x:c r="R36" s="21" t="str">
        <x:f>IF(N36="","",IF(AND(COUNTIFS($N$3:$N$502,N36,$O$3:$O$502,O36,$P$3:$P$502,P36,$Q$3:$Q$502,"&gt;"&amp;Q36)=0,COUNTIFS($N$3:N36,N36,$O$3:O36,O36,$P$3:P36,P36,$Q$3:Q36,Q36)=1),1,0))</x:f>
      </x:c>
      <x:c r="S36" s="21" t="n">
        <x:f t="shared" si="0">IF(R36=1,Q36,0)</x:f>
        <x:v>0</x:v>
      </x:c>
      <x:c r="T36" s="15"/>
      <x:c r="U36" s="15"/>
      <x:c r="V36" s="15"/>
      <x:c r="W36" s="15"/>
      <x:c r="X36" s="15"/>
      <x:c r="Y36" s="15"/>
      <x:c r="Z36" s="14"/>
    </x:row>
    <x:row r="37" ht="14.399999618530273" customHeight="1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93" t="n">
        <x:f>'Registro de vuelos'!A38</x:f>
        <x:v>0</x:v>
      </x:c>
      <x:c r="O37" s="15" t="n">
        <x:f>'Registro de vuelos'!C38</x:f>
        <x:v>0</x:v>
      </x:c>
      <x:c r="P37" s="15" t="n">
        <x:f>'Registro de vuelos'!E38</x:f>
        <x:v>0</x:v>
      </x:c>
      <x:c r="Q37" s="21" t="n">
        <x:f>'Registro de vuelos'!F38</x:f>
        <x:v>0</x:v>
      </x:c>
      <x:c r="R37" s="21" t="str">
        <x:f>IF(N37="","",IF(AND(COUNTIFS($N$3:$N$502,N37,$O$3:$O$502,O37,$P$3:$P$502,P37,$Q$3:$Q$502,"&gt;"&amp;Q37)=0,COUNTIFS($N$3:N37,N37,$O$3:O37,O37,$P$3:P37,P37,$Q$3:Q37,Q37)=1),1,0))</x:f>
      </x:c>
      <x:c r="S37" s="21" t="n">
        <x:f t="shared" si="0">IF(R37=1,Q37,0)</x:f>
        <x:v>0</x:v>
      </x:c>
      <x:c r="T37" s="15"/>
      <x:c r="U37" s="15"/>
      <x:c r="V37" s="15"/>
      <x:c r="W37" s="15"/>
      <x:c r="X37" s="15"/>
      <x:c r="Y37" s="15"/>
      <x:c r="Z37" s="14"/>
    </x:row>
    <x:row r="38" ht="14.399999618530273" customHeight="1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93" t="n">
        <x:f>'Registro de vuelos'!A39</x:f>
        <x:v>0</x:v>
      </x:c>
      <x:c r="O38" s="15" t="n">
        <x:f>'Registro de vuelos'!C39</x:f>
        <x:v>0</x:v>
      </x:c>
      <x:c r="P38" s="15" t="n">
        <x:f>'Registro de vuelos'!E39</x:f>
        <x:v>0</x:v>
      </x:c>
      <x:c r="Q38" s="21" t="n">
        <x:f>'Registro de vuelos'!F39</x:f>
        <x:v>0</x:v>
      </x:c>
      <x:c r="R38" s="21" t="str">
        <x:f>IF(N38="","",IF(AND(COUNTIFS($N$3:$N$502,N38,$O$3:$O$502,O38,$P$3:$P$502,P38,$Q$3:$Q$502,"&gt;"&amp;Q38)=0,COUNTIFS($N$3:N38,N38,$O$3:O38,O38,$P$3:P38,P38,$Q$3:Q38,Q38)=1),1,0))</x:f>
      </x:c>
      <x:c r="S38" s="21" t="n">
        <x:f t="shared" si="0">IF(R38=1,Q38,0)</x:f>
        <x:v>0</x:v>
      </x:c>
      <x:c r="T38" s="15"/>
      <x:c r="U38" s="15"/>
      <x:c r="V38" s="15"/>
      <x:c r="W38" s="15"/>
      <x:c r="X38" s="15"/>
      <x:c r="Y38" s="15"/>
      <x:c r="Z38" s="14"/>
    </x:row>
    <x:row r="39" ht="14.399999618530273" customHeight="1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93" t="n">
        <x:f>'Registro de vuelos'!A40</x:f>
        <x:v>0</x:v>
      </x:c>
      <x:c r="O39" s="15" t="n">
        <x:f>'Registro de vuelos'!C40</x:f>
        <x:v>0</x:v>
      </x:c>
      <x:c r="P39" s="15" t="n">
        <x:f>'Registro de vuelos'!E40</x:f>
        <x:v>0</x:v>
      </x:c>
      <x:c r="Q39" s="21" t="n">
        <x:f>'Registro de vuelos'!F40</x:f>
        <x:v>0</x:v>
      </x:c>
      <x:c r="R39" s="21" t="str">
        <x:f>IF(N39="","",IF(AND(COUNTIFS($N$3:$N$502,N39,$O$3:$O$502,O39,$P$3:$P$502,P39,$Q$3:$Q$502,"&gt;"&amp;Q39)=0,COUNTIFS($N$3:N39,N39,$O$3:O39,O39,$P$3:P39,P39,$Q$3:Q39,Q39)=1),1,0))</x:f>
      </x:c>
      <x:c r="S39" s="21" t="n">
        <x:f t="shared" si="0">IF(R39=1,Q39,0)</x:f>
        <x:v>0</x:v>
      </x:c>
      <x:c r="T39" s="15"/>
      <x:c r="U39" s="15"/>
      <x:c r="V39" s="15"/>
      <x:c r="W39" s="15"/>
      <x:c r="X39" s="15"/>
      <x:c r="Y39" s="15"/>
      <x:c r="Z39" s="14"/>
    </x:row>
    <x:row r="40" ht="14.399999618530273" customHeight="1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93" t="n">
        <x:f>'Registro de vuelos'!A41</x:f>
        <x:v>0</x:v>
      </x:c>
      <x:c r="O40" s="15" t="n">
        <x:f>'Registro de vuelos'!C41</x:f>
        <x:v>0</x:v>
      </x:c>
      <x:c r="P40" s="15" t="n">
        <x:f>'Registro de vuelos'!E41</x:f>
        <x:v>0</x:v>
      </x:c>
      <x:c r="Q40" s="21" t="n">
        <x:f>'Registro de vuelos'!F41</x:f>
        <x:v>0</x:v>
      </x:c>
      <x:c r="R40" s="21" t="str">
        <x:f>IF(N40="","",IF(AND(COUNTIFS($N$3:$N$502,N40,$O$3:$O$502,O40,$P$3:$P$502,P40,$Q$3:$Q$502,"&gt;"&amp;Q40)=0,COUNTIFS($N$3:N40,N40,$O$3:O40,O40,$P$3:P40,P40,$Q$3:Q40,Q40)=1),1,0))</x:f>
      </x:c>
      <x:c r="S40" s="21" t="n">
        <x:f t="shared" si="0">IF(R40=1,Q40,0)</x:f>
        <x:v>0</x:v>
      </x:c>
      <x:c r="T40" s="15"/>
      <x:c r="U40" s="15"/>
      <x:c r="V40" s="15"/>
      <x:c r="W40" s="15"/>
      <x:c r="X40" s="15"/>
      <x:c r="Y40" s="15"/>
      <x:c r="Z40" s="14"/>
    </x:row>
    <x:row r="41" ht="14.399999618530273" customHeight="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93" t="n">
        <x:f>'Registro de vuelos'!A42</x:f>
        <x:v>0</x:v>
      </x:c>
      <x:c r="O41" s="15" t="n">
        <x:f>'Registro de vuelos'!C42</x:f>
        <x:v>0</x:v>
      </x:c>
      <x:c r="P41" s="15" t="n">
        <x:f>'Registro de vuelos'!E42</x:f>
        <x:v>0</x:v>
      </x:c>
      <x:c r="Q41" s="21" t="n">
        <x:f>'Registro de vuelos'!F42</x:f>
        <x:v>0</x:v>
      </x:c>
      <x:c r="R41" s="21" t="str">
        <x:f>IF(N41="","",IF(AND(COUNTIFS($N$3:$N$502,N41,$O$3:$O$502,O41,$P$3:$P$502,P41,$Q$3:$Q$502,"&gt;"&amp;Q41)=0,COUNTIFS($N$3:N41,N41,$O$3:O41,O41,$P$3:P41,P41,$Q$3:Q41,Q41)=1),1,0))</x:f>
      </x:c>
      <x:c r="S41" s="21" t="n">
        <x:f t="shared" si="0">IF(R41=1,Q41,0)</x:f>
        <x:v>0</x:v>
      </x:c>
      <x:c r="T41" s="15"/>
      <x:c r="U41" s="15"/>
      <x:c r="V41" s="15"/>
      <x:c r="W41" s="15"/>
      <x:c r="X41" s="15"/>
      <x:c r="Y41" s="15"/>
      <x:c r="Z41" s="14"/>
    </x:row>
    <x:row r="42" ht="14.399999618530273" customHeight="1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93" t="n">
        <x:f>'Registro de vuelos'!A43</x:f>
        <x:v>0</x:v>
      </x:c>
      <x:c r="O42" s="15" t="n">
        <x:f>'Registro de vuelos'!C43</x:f>
        <x:v>0</x:v>
      </x:c>
      <x:c r="P42" s="15" t="n">
        <x:f>'Registro de vuelos'!E43</x:f>
        <x:v>0</x:v>
      </x:c>
      <x:c r="Q42" s="21" t="n">
        <x:f>'Registro de vuelos'!F43</x:f>
        <x:v>0</x:v>
      </x:c>
      <x:c r="R42" s="21" t="str">
        <x:f>IF(N42="","",IF(AND(COUNTIFS($N$3:$N$502,N42,$O$3:$O$502,O42,$P$3:$P$502,P42,$Q$3:$Q$502,"&gt;"&amp;Q42)=0,COUNTIFS($N$3:N42,N42,$O$3:O42,O42,$P$3:P42,P42,$Q$3:Q42,Q42)=1),1,0))</x:f>
      </x:c>
      <x:c r="S42" s="21" t="n">
        <x:f t="shared" si="0">IF(R42=1,Q42,0)</x:f>
        <x:v>0</x:v>
      </x:c>
      <x:c r="T42" s="15"/>
      <x:c r="U42" s="15"/>
      <x:c r="V42" s="15"/>
      <x:c r="W42" s="15"/>
      <x:c r="X42" s="15"/>
      <x:c r="Y42" s="15"/>
      <x:c r="Z42" s="14"/>
    </x:row>
    <x:row r="43" ht="14.399999618530273" customHeight="1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93" t="n">
        <x:f>'Registro de vuelos'!A44</x:f>
        <x:v>0</x:v>
      </x:c>
      <x:c r="O43" s="15" t="n">
        <x:f>'Registro de vuelos'!C44</x:f>
        <x:v>0</x:v>
      </x:c>
      <x:c r="P43" s="15" t="n">
        <x:f>'Registro de vuelos'!E44</x:f>
        <x:v>0</x:v>
      </x:c>
      <x:c r="Q43" s="21" t="n">
        <x:f>'Registro de vuelos'!F44</x:f>
        <x:v>0</x:v>
      </x:c>
      <x:c r="R43" s="21" t="str">
        <x:f>IF(N43="","",IF(AND(COUNTIFS($N$3:$N$502,N43,$O$3:$O$502,O43,$P$3:$P$502,P43,$Q$3:$Q$502,"&gt;"&amp;Q43)=0,COUNTIFS($N$3:N43,N43,$O$3:O43,O43,$P$3:P43,P43,$Q$3:Q43,Q43)=1),1,0))</x:f>
      </x:c>
      <x:c r="S43" s="21" t="n">
        <x:f t="shared" si="0">IF(R43=1,Q43,0)</x:f>
        <x:v>0</x:v>
      </x:c>
      <x:c r="T43" s="15"/>
      <x:c r="U43" s="15"/>
      <x:c r="V43" s="15"/>
      <x:c r="W43" s="15"/>
      <x:c r="X43" s="15"/>
      <x:c r="Y43" s="15"/>
      <x:c r="Z43" s="14"/>
    </x:row>
    <x:row r="44" ht="14.399999618530273" customHeight="1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93" t="n">
        <x:f>'Registro de vuelos'!A45</x:f>
        <x:v>0</x:v>
      </x:c>
      <x:c r="O44" s="15" t="n">
        <x:f>'Registro de vuelos'!C45</x:f>
        <x:v>0</x:v>
      </x:c>
      <x:c r="P44" s="15" t="n">
        <x:f>'Registro de vuelos'!E45</x:f>
        <x:v>0</x:v>
      </x:c>
      <x:c r="Q44" s="21" t="n">
        <x:f>'Registro de vuelos'!F45</x:f>
        <x:v>0</x:v>
      </x:c>
      <x:c r="R44" s="21" t="str">
        <x:f>IF(N44="","",IF(AND(COUNTIFS($N$3:$N$502,N44,$O$3:$O$502,O44,$P$3:$P$502,P44,$Q$3:$Q$502,"&gt;"&amp;Q44)=0,COUNTIFS($N$3:N44,N44,$O$3:O44,O44,$P$3:P44,P44,$Q$3:Q44,Q44)=1),1,0))</x:f>
      </x:c>
      <x:c r="S44" s="21" t="n">
        <x:f t="shared" si="0">IF(R44=1,Q44,0)</x:f>
        <x:v>0</x:v>
      </x:c>
      <x:c r="T44" s="15"/>
      <x:c r="U44" s="15"/>
      <x:c r="V44" s="15"/>
      <x:c r="W44" s="15"/>
      <x:c r="X44" s="15"/>
      <x:c r="Y44" s="15"/>
      <x:c r="Z44" s="14"/>
    </x:row>
    <x:row r="45" ht="14.399999618530273" customHeight="1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93" t="n">
        <x:f>'Registro de vuelos'!A46</x:f>
        <x:v>0</x:v>
      </x:c>
      <x:c r="O45" s="15" t="n">
        <x:f>'Registro de vuelos'!C46</x:f>
        <x:v>0</x:v>
      </x:c>
      <x:c r="P45" s="15" t="n">
        <x:f>'Registro de vuelos'!E46</x:f>
        <x:v>0</x:v>
      </x:c>
      <x:c r="Q45" s="21" t="n">
        <x:f>'Registro de vuelos'!F46</x:f>
        <x:v>0</x:v>
      </x:c>
      <x:c r="R45" s="21" t="str">
        <x:f>IF(N45="","",IF(AND(COUNTIFS($N$3:$N$502,N45,$O$3:$O$502,O45,$P$3:$P$502,P45,$Q$3:$Q$502,"&gt;"&amp;Q45)=0,COUNTIFS($N$3:N45,N45,$O$3:O45,O45,$P$3:P45,P45,$Q$3:Q45,Q45)=1),1,0))</x:f>
      </x:c>
      <x:c r="S45" s="21" t="n">
        <x:f t="shared" si="0">IF(R45=1,Q45,0)</x:f>
        <x:v>0</x:v>
      </x:c>
      <x:c r="T45" s="15"/>
      <x:c r="U45" s="15"/>
      <x:c r="V45" s="15"/>
      <x:c r="W45" s="15"/>
      <x:c r="X45" s="15"/>
      <x:c r="Y45" s="15"/>
      <x:c r="Z45" s="14"/>
    </x:row>
    <x:row r="46" ht="14.399999618530273" customHeight="1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93" t="n">
        <x:f>'Registro de vuelos'!A47</x:f>
        <x:v>0</x:v>
      </x:c>
      <x:c r="O46" s="15" t="n">
        <x:f>'Registro de vuelos'!C47</x:f>
        <x:v>0</x:v>
      </x:c>
      <x:c r="P46" s="15" t="n">
        <x:f>'Registro de vuelos'!E47</x:f>
        <x:v>0</x:v>
      </x:c>
      <x:c r="Q46" s="21" t="n">
        <x:f>'Registro de vuelos'!F47</x:f>
        <x:v>0</x:v>
      </x:c>
      <x:c r="R46" s="21" t="str">
        <x:f>IF(N46="","",IF(AND(COUNTIFS($N$3:$N$502,N46,$O$3:$O$502,O46,$P$3:$P$502,P46,$Q$3:$Q$502,"&gt;"&amp;Q46)=0,COUNTIFS($N$3:N46,N46,$O$3:O46,O46,$P$3:P46,P46,$Q$3:Q46,Q46)=1),1,0))</x:f>
      </x:c>
      <x:c r="S46" s="21" t="n">
        <x:f t="shared" si="0">IF(R46=1,Q46,0)</x:f>
        <x:v>0</x:v>
      </x:c>
      <x:c r="T46" s="15"/>
      <x:c r="U46" s="15"/>
      <x:c r="V46" s="15"/>
      <x:c r="W46" s="15"/>
      <x:c r="X46" s="15"/>
      <x:c r="Y46" s="15"/>
      <x:c r="Z46" s="14"/>
    </x:row>
    <x:row r="47" ht="14.399999618530273" customHeight="1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93" t="n">
        <x:f>'Registro de vuelos'!A48</x:f>
        <x:v>0</x:v>
      </x:c>
      <x:c r="O47" s="15" t="n">
        <x:f>'Registro de vuelos'!C48</x:f>
        <x:v>0</x:v>
      </x:c>
      <x:c r="P47" s="15" t="n">
        <x:f>'Registro de vuelos'!E48</x:f>
        <x:v>0</x:v>
      </x:c>
      <x:c r="Q47" s="21" t="n">
        <x:f>'Registro de vuelos'!F48</x:f>
        <x:v>0</x:v>
      </x:c>
      <x:c r="R47" s="21" t="str">
        <x:f>IF(N47="","",IF(AND(COUNTIFS($N$3:$N$502,N47,$O$3:$O$502,O47,$P$3:$P$502,P47,$Q$3:$Q$502,"&gt;"&amp;Q47)=0,COUNTIFS($N$3:N47,N47,$O$3:O47,O47,$P$3:P47,P47,$Q$3:Q47,Q47)=1),1,0))</x:f>
      </x:c>
      <x:c r="S47" s="21" t="n">
        <x:f t="shared" si="0">IF(R47=1,Q47,0)</x:f>
        <x:v>0</x:v>
      </x:c>
      <x:c r="T47" s="15"/>
      <x:c r="U47" s="15"/>
      <x:c r="V47" s="15"/>
      <x:c r="W47" s="15"/>
      <x:c r="X47" s="15"/>
      <x:c r="Y47" s="15"/>
      <x:c r="Z47" s="14"/>
    </x:row>
    <x:row r="48" ht="14.399999618530273" customHeight="1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93" t="n">
        <x:f>'Registro de vuelos'!A49</x:f>
        <x:v>0</x:v>
      </x:c>
      <x:c r="O48" s="15" t="n">
        <x:f>'Registro de vuelos'!C49</x:f>
        <x:v>0</x:v>
      </x:c>
      <x:c r="P48" s="15" t="n">
        <x:f>'Registro de vuelos'!E49</x:f>
        <x:v>0</x:v>
      </x:c>
      <x:c r="Q48" s="21" t="n">
        <x:f>'Registro de vuelos'!F49</x:f>
        <x:v>0</x:v>
      </x:c>
      <x:c r="R48" s="21" t="str">
        <x:f>IF(N48="","",IF(AND(COUNTIFS($N$3:$N$502,N48,$O$3:$O$502,O48,$P$3:$P$502,P48,$Q$3:$Q$502,"&gt;"&amp;Q48)=0,COUNTIFS($N$3:N48,N48,$O$3:O48,O48,$P$3:P48,P48,$Q$3:Q48,Q48)=1),1,0))</x:f>
      </x:c>
      <x:c r="S48" s="21" t="n">
        <x:f t="shared" si="0">IF(R48=1,Q48,0)</x:f>
        <x:v>0</x:v>
      </x:c>
      <x:c r="T48" s="15"/>
      <x:c r="U48" s="15"/>
      <x:c r="V48" s="15"/>
      <x:c r="W48" s="15"/>
      <x:c r="X48" s="15"/>
      <x:c r="Y48" s="15"/>
      <x:c r="Z48" s="14"/>
    </x:row>
    <x:row r="49" ht="14.399999618530273" customHeight="1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93" t="n">
        <x:f>'Registro de vuelos'!A50</x:f>
        <x:v>0</x:v>
      </x:c>
      <x:c r="O49" s="15" t="n">
        <x:f>'Registro de vuelos'!C50</x:f>
        <x:v>0</x:v>
      </x:c>
      <x:c r="P49" s="15" t="n">
        <x:f>'Registro de vuelos'!E50</x:f>
        <x:v>0</x:v>
      </x:c>
      <x:c r="Q49" s="21" t="n">
        <x:f>'Registro de vuelos'!F50</x:f>
        <x:v>0</x:v>
      </x:c>
      <x:c r="R49" s="21" t="str">
        <x:f>IF(N49="","",IF(AND(COUNTIFS($N$3:$N$502,N49,$O$3:$O$502,O49,$P$3:$P$502,P49,$Q$3:$Q$502,"&gt;"&amp;Q49)=0,COUNTIFS($N$3:N49,N49,$O$3:O49,O49,$P$3:P49,P49,$Q$3:Q49,Q49)=1),1,0))</x:f>
      </x:c>
      <x:c r="S49" s="21" t="n">
        <x:f t="shared" si="0">IF(R49=1,Q49,0)</x:f>
        <x:v>0</x:v>
      </x:c>
      <x:c r="T49" s="15"/>
      <x:c r="U49" s="15"/>
      <x:c r="V49" s="15"/>
      <x:c r="W49" s="15"/>
      <x:c r="X49" s="15"/>
      <x:c r="Y49" s="15"/>
      <x:c r="Z49" s="14"/>
    </x:row>
    <x:row r="50" ht="14.399999618530273" customHeight="1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93" t="n">
        <x:f>'Registro de vuelos'!A51</x:f>
        <x:v>0</x:v>
      </x:c>
      <x:c r="O50" s="15" t="n">
        <x:f>'Registro de vuelos'!C51</x:f>
        <x:v>0</x:v>
      </x:c>
      <x:c r="P50" s="15" t="n">
        <x:f>'Registro de vuelos'!E51</x:f>
        <x:v>0</x:v>
      </x:c>
      <x:c r="Q50" s="21" t="n">
        <x:f>'Registro de vuelos'!F51</x:f>
        <x:v>0</x:v>
      </x:c>
      <x:c r="R50" s="21" t="str">
        <x:f>IF(N50="","",IF(AND(COUNTIFS($N$3:$N$502,N50,$O$3:$O$502,O50,$P$3:$P$502,P50,$Q$3:$Q$502,"&gt;"&amp;Q50)=0,COUNTIFS($N$3:N50,N50,$O$3:O50,O50,$P$3:P50,P50,$Q$3:Q50,Q50)=1),1,0))</x:f>
      </x:c>
      <x:c r="S50" s="21" t="n">
        <x:f t="shared" si="0">IF(R50=1,Q50,0)</x:f>
        <x:v>0</x:v>
      </x:c>
      <x:c r="T50" s="15"/>
      <x:c r="U50" s="15"/>
      <x:c r="V50" s="15"/>
      <x:c r="W50" s="15"/>
      <x:c r="X50" s="15"/>
      <x:c r="Y50" s="15"/>
      <x:c r="Z50" s="14"/>
    </x:row>
    <x:row r="51" ht="14.399999618530273" customHeight="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93" t="n">
        <x:f>'Registro de vuelos'!A52</x:f>
        <x:v>0</x:v>
      </x:c>
      <x:c r="O51" s="15" t="n">
        <x:f>'Registro de vuelos'!C52</x:f>
        <x:v>0</x:v>
      </x:c>
      <x:c r="P51" s="15" t="n">
        <x:f>'Registro de vuelos'!E52</x:f>
        <x:v>0</x:v>
      </x:c>
      <x:c r="Q51" s="21" t="n">
        <x:f>'Registro de vuelos'!F52</x:f>
        <x:v>0</x:v>
      </x:c>
      <x:c r="R51" s="21" t="str">
        <x:f>IF(N51="","",IF(AND(COUNTIFS($N$3:$N$502,N51,$O$3:$O$502,O51,$P$3:$P$502,P51,$Q$3:$Q$502,"&gt;"&amp;Q51)=0,COUNTIFS($N$3:N51,N51,$O$3:O51,O51,$P$3:P51,P51,$Q$3:Q51,Q51)=1),1,0))</x:f>
      </x:c>
      <x:c r="S51" s="21" t="n">
        <x:f t="shared" si="0">IF(R51=1,Q51,0)</x:f>
        <x:v>0</x:v>
      </x:c>
      <x:c r="T51" s="15"/>
      <x:c r="U51" s="15"/>
      <x:c r="V51" s="15"/>
      <x:c r="W51" s="15"/>
      <x:c r="X51" s="15"/>
      <x:c r="Y51" s="15"/>
      <x:c r="Z51" s="14"/>
    </x:row>
    <x:row r="52" ht="14.399999618530273" customHeight="1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93" t="n">
        <x:f>'Registro de vuelos'!A53</x:f>
        <x:v>0</x:v>
      </x:c>
      <x:c r="O52" s="15" t="n">
        <x:f>'Registro de vuelos'!C53</x:f>
        <x:v>0</x:v>
      </x:c>
      <x:c r="P52" s="15" t="n">
        <x:f>'Registro de vuelos'!E53</x:f>
        <x:v>0</x:v>
      </x:c>
      <x:c r="Q52" s="21" t="n">
        <x:f>'Registro de vuelos'!F53</x:f>
        <x:v>0</x:v>
      </x:c>
      <x:c r="R52" s="21" t="str">
        <x:f>IF(N52="","",IF(AND(COUNTIFS($N$3:$N$502,N52,$O$3:$O$502,O52,$P$3:$P$502,P52,$Q$3:$Q$502,"&gt;"&amp;Q52)=0,COUNTIFS($N$3:N52,N52,$O$3:O52,O52,$P$3:P52,P52,$Q$3:Q52,Q52)=1),1,0))</x:f>
      </x:c>
      <x:c r="S52" s="21" t="n">
        <x:f t="shared" si="0">IF(R52=1,Q52,0)</x:f>
        <x:v>0</x:v>
      </x:c>
      <x:c r="T52" s="15"/>
      <x:c r="U52" s="15"/>
      <x:c r="V52" s="15"/>
      <x:c r="W52" s="15"/>
      <x:c r="X52" s="15"/>
      <x:c r="Y52" s="15"/>
      <x:c r="Z52" s="14"/>
    </x:row>
    <x:row r="53" ht="14.399999618530273" customHeight="1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93" t="n">
        <x:f>'Registro de vuelos'!A54</x:f>
        <x:v>0</x:v>
      </x:c>
      <x:c r="O53" s="15" t="n">
        <x:f>'Registro de vuelos'!C54</x:f>
        <x:v>0</x:v>
      </x:c>
      <x:c r="P53" s="15" t="n">
        <x:f>'Registro de vuelos'!E54</x:f>
        <x:v>0</x:v>
      </x:c>
      <x:c r="Q53" s="21" t="n">
        <x:f>'Registro de vuelos'!F54</x:f>
        <x:v>0</x:v>
      </x:c>
      <x:c r="R53" s="21" t="str">
        <x:f>IF(N53="","",IF(AND(COUNTIFS($N$3:$N$502,N53,$O$3:$O$502,O53,$P$3:$P$502,P53,$Q$3:$Q$502,"&gt;"&amp;Q53)=0,COUNTIFS($N$3:N53,N53,$O$3:O53,O53,$P$3:P53,P53,$Q$3:Q53,Q53)=1),1,0))</x:f>
      </x:c>
      <x:c r="S53" s="21" t="n">
        <x:f t="shared" si="0">IF(R53=1,Q53,0)</x:f>
        <x:v>0</x:v>
      </x:c>
      <x:c r="T53" s="15"/>
      <x:c r="U53" s="15"/>
      <x:c r="V53" s="15"/>
      <x:c r="W53" s="15"/>
      <x:c r="X53" s="15"/>
      <x:c r="Y53" s="15"/>
      <x:c r="Z53" s="14"/>
    </x:row>
    <x:row r="54" ht="14.399999618530273" customHeight="1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93" t="n">
        <x:f>'Registro de vuelos'!A55</x:f>
        <x:v>0</x:v>
      </x:c>
      <x:c r="O54" s="15" t="n">
        <x:f>'Registro de vuelos'!C55</x:f>
        <x:v>0</x:v>
      </x:c>
      <x:c r="P54" s="15" t="n">
        <x:f>'Registro de vuelos'!E55</x:f>
        <x:v>0</x:v>
      </x:c>
      <x:c r="Q54" s="21" t="n">
        <x:f>'Registro de vuelos'!F55</x:f>
        <x:v>0</x:v>
      </x:c>
      <x:c r="R54" s="21" t="str">
        <x:f>IF(N54="","",IF(AND(COUNTIFS($N$3:$N$502,N54,$O$3:$O$502,O54,$P$3:$P$502,P54,$Q$3:$Q$502,"&gt;"&amp;Q54)=0,COUNTIFS($N$3:N54,N54,$O$3:O54,O54,$P$3:P54,P54,$Q$3:Q54,Q54)=1),1,0))</x:f>
      </x:c>
      <x:c r="S54" s="21" t="n">
        <x:f t="shared" si="0">IF(R54=1,Q54,0)</x:f>
        <x:v>0</x:v>
      </x:c>
      <x:c r="T54" s="15"/>
      <x:c r="U54" s="15"/>
      <x:c r="V54" s="15"/>
      <x:c r="W54" s="15"/>
      <x:c r="X54" s="15"/>
      <x:c r="Y54" s="15"/>
      <x:c r="Z54" s="14"/>
    </x:row>
    <x:row r="55" ht="14.399999618530273" customHeight="1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93" t="n">
        <x:f>'Registro de vuelos'!A56</x:f>
        <x:v>0</x:v>
      </x:c>
      <x:c r="O55" s="15" t="n">
        <x:f>'Registro de vuelos'!C56</x:f>
        <x:v>0</x:v>
      </x:c>
      <x:c r="P55" s="15" t="n">
        <x:f>'Registro de vuelos'!E56</x:f>
        <x:v>0</x:v>
      </x:c>
      <x:c r="Q55" s="21" t="n">
        <x:f>'Registro de vuelos'!F56</x:f>
        <x:v>0</x:v>
      </x:c>
      <x:c r="R55" s="21" t="str">
        <x:f>IF(N55="","",IF(AND(COUNTIFS($N$3:$N$502,N55,$O$3:$O$502,O55,$P$3:$P$502,P55,$Q$3:$Q$502,"&gt;"&amp;Q55)=0,COUNTIFS($N$3:N55,N55,$O$3:O55,O55,$P$3:P55,P55,$Q$3:Q55,Q55)=1),1,0))</x:f>
      </x:c>
      <x:c r="S55" s="21" t="n">
        <x:f t="shared" si="0">IF(R55=1,Q55,0)</x:f>
        <x:v>0</x:v>
      </x:c>
      <x:c r="T55" s="15"/>
      <x:c r="U55" s="15"/>
      <x:c r="V55" s="15"/>
      <x:c r="W55" s="15"/>
      <x:c r="X55" s="15"/>
      <x:c r="Y55" s="15"/>
      <x:c r="Z55" s="14"/>
    </x:row>
    <x:row r="56" ht="14.399999618530273" customHeight="1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93" t="n">
        <x:f>'Registro de vuelos'!A57</x:f>
        <x:v>0</x:v>
      </x:c>
      <x:c r="O56" s="15" t="n">
        <x:f>'Registro de vuelos'!C57</x:f>
        <x:v>0</x:v>
      </x:c>
      <x:c r="P56" s="15" t="n">
        <x:f>'Registro de vuelos'!E57</x:f>
        <x:v>0</x:v>
      </x:c>
      <x:c r="Q56" s="21" t="n">
        <x:f>'Registro de vuelos'!F57</x:f>
        <x:v>0</x:v>
      </x:c>
      <x:c r="R56" s="21" t="str">
        <x:f>IF(N56="","",IF(AND(COUNTIFS($N$3:$N$502,N56,$O$3:$O$502,O56,$P$3:$P$502,P56,$Q$3:$Q$502,"&gt;"&amp;Q56)=0,COUNTIFS($N$3:N56,N56,$O$3:O56,O56,$P$3:P56,P56,$Q$3:Q56,Q56)=1),1,0))</x:f>
      </x:c>
      <x:c r="S56" s="21" t="n">
        <x:f t="shared" si="0">IF(R56=1,Q56,0)</x:f>
        <x:v>0</x:v>
      </x:c>
      <x:c r="T56" s="15"/>
      <x:c r="U56" s="15"/>
      <x:c r="V56" s="15"/>
      <x:c r="W56" s="15"/>
      <x:c r="X56" s="15"/>
      <x:c r="Y56" s="15"/>
      <x:c r="Z56" s="14"/>
    </x:row>
    <x:row r="57" ht="14.399999618530273" customHeight="1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93" t="n">
        <x:f>'Registro de vuelos'!A58</x:f>
        <x:v>0</x:v>
      </x:c>
      <x:c r="O57" s="15" t="n">
        <x:f>'Registro de vuelos'!C58</x:f>
        <x:v>0</x:v>
      </x:c>
      <x:c r="P57" s="15" t="n">
        <x:f>'Registro de vuelos'!E58</x:f>
        <x:v>0</x:v>
      </x:c>
      <x:c r="Q57" s="21" t="n">
        <x:f>'Registro de vuelos'!F58</x:f>
        <x:v>0</x:v>
      </x:c>
      <x:c r="R57" s="21" t="str">
        <x:f>IF(N57="","",IF(AND(COUNTIFS($N$3:$N$502,N57,$O$3:$O$502,O57,$P$3:$P$502,P57,$Q$3:$Q$502,"&gt;"&amp;Q57)=0,COUNTIFS($N$3:N57,N57,$O$3:O57,O57,$P$3:P57,P57,$Q$3:Q57,Q57)=1),1,0))</x:f>
      </x:c>
      <x:c r="S57" s="21" t="n">
        <x:f t="shared" si="0">IF(R57=1,Q57,0)</x:f>
        <x:v>0</x:v>
      </x:c>
      <x:c r="T57" s="15"/>
      <x:c r="U57" s="15"/>
      <x:c r="V57" s="15"/>
      <x:c r="W57" s="15"/>
      <x:c r="X57" s="15"/>
      <x:c r="Y57" s="15"/>
      <x:c r="Z57" s="14"/>
    </x:row>
    <x:row r="58" ht="14.399999618530273" customHeight="1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93" t="n">
        <x:f>'Registro de vuelos'!A59</x:f>
        <x:v>0</x:v>
      </x:c>
      <x:c r="O58" s="15" t="n">
        <x:f>'Registro de vuelos'!C59</x:f>
        <x:v>0</x:v>
      </x:c>
      <x:c r="P58" s="15" t="n">
        <x:f>'Registro de vuelos'!E59</x:f>
        <x:v>0</x:v>
      </x:c>
      <x:c r="Q58" s="21" t="n">
        <x:f>'Registro de vuelos'!F59</x:f>
        <x:v>0</x:v>
      </x:c>
      <x:c r="R58" s="21" t="str">
        <x:f>IF(N58="","",IF(AND(COUNTIFS($N$3:$N$502,N58,$O$3:$O$502,O58,$P$3:$P$502,P58,$Q$3:$Q$502,"&gt;"&amp;Q58)=0,COUNTIFS($N$3:N58,N58,$O$3:O58,O58,$P$3:P58,P58,$Q$3:Q58,Q58)=1),1,0))</x:f>
      </x:c>
      <x:c r="S58" s="21" t="n">
        <x:f t="shared" si="0">IF(R58=1,Q58,0)</x:f>
        <x:v>0</x:v>
      </x:c>
      <x:c r="T58" s="15"/>
      <x:c r="U58" s="15"/>
      <x:c r="V58" s="15"/>
      <x:c r="W58" s="15"/>
      <x:c r="X58" s="15"/>
      <x:c r="Y58" s="15"/>
      <x:c r="Z58" s="14"/>
    </x:row>
    <x:row r="59" ht="14.399999618530273" customHeight="1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93" t="n">
        <x:f>'Registro de vuelos'!A60</x:f>
        <x:v>0</x:v>
      </x:c>
      <x:c r="O59" s="15" t="n">
        <x:f>'Registro de vuelos'!C60</x:f>
        <x:v>0</x:v>
      </x:c>
      <x:c r="P59" s="15" t="n">
        <x:f>'Registro de vuelos'!E60</x:f>
        <x:v>0</x:v>
      </x:c>
      <x:c r="Q59" s="21" t="n">
        <x:f>'Registro de vuelos'!F60</x:f>
        <x:v>0</x:v>
      </x:c>
      <x:c r="R59" s="21" t="str">
        <x:f>IF(N59="","",IF(AND(COUNTIFS($N$3:$N$502,N59,$O$3:$O$502,O59,$P$3:$P$502,P59,$Q$3:$Q$502,"&gt;"&amp;Q59)=0,COUNTIFS($N$3:N59,N59,$O$3:O59,O59,$P$3:P59,P59,$Q$3:Q59,Q59)=1),1,0))</x:f>
      </x:c>
      <x:c r="S59" s="21" t="n">
        <x:f t="shared" si="0">IF(R59=1,Q59,0)</x:f>
        <x:v>0</x:v>
      </x:c>
      <x:c r="T59" s="15"/>
      <x:c r="U59" s="15"/>
      <x:c r="V59" s="15"/>
      <x:c r="W59" s="15"/>
      <x:c r="X59" s="15"/>
      <x:c r="Y59" s="15"/>
      <x:c r="Z59" s="14"/>
    </x:row>
    <x:row r="60" ht="14.399999618530273" customHeight="1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93" t="n">
        <x:f>'Registro de vuelos'!A61</x:f>
        <x:v>0</x:v>
      </x:c>
      <x:c r="O60" s="15" t="n">
        <x:f>'Registro de vuelos'!C61</x:f>
        <x:v>0</x:v>
      </x:c>
      <x:c r="P60" s="15" t="n">
        <x:f>'Registro de vuelos'!E61</x:f>
        <x:v>0</x:v>
      </x:c>
      <x:c r="Q60" s="21" t="n">
        <x:f>'Registro de vuelos'!F61</x:f>
        <x:v>0</x:v>
      </x:c>
      <x:c r="R60" s="21" t="str">
        <x:f>IF(N60="","",IF(AND(COUNTIFS($N$3:$N$502,N60,$O$3:$O$502,O60,$P$3:$P$502,P60,$Q$3:$Q$502,"&gt;"&amp;Q60)=0,COUNTIFS($N$3:N60,N60,$O$3:O60,O60,$P$3:P60,P60,$Q$3:Q60,Q60)=1),1,0))</x:f>
      </x:c>
      <x:c r="S60" s="21" t="n">
        <x:f t="shared" si="0">IF(R60=1,Q60,0)</x:f>
        <x:v>0</x:v>
      </x:c>
      <x:c r="T60" s="15"/>
      <x:c r="U60" s="15"/>
      <x:c r="V60" s="15"/>
      <x:c r="W60" s="15"/>
      <x:c r="X60" s="15"/>
      <x:c r="Y60" s="15"/>
      <x:c r="Z60" s="14"/>
    </x:row>
    <x:row r="61" ht="14.399999618530273" customHeight="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93" t="n">
        <x:f>'Registro de vuelos'!A62</x:f>
        <x:v>0</x:v>
      </x:c>
      <x:c r="O61" s="15" t="n">
        <x:f>'Registro de vuelos'!C62</x:f>
        <x:v>0</x:v>
      </x:c>
      <x:c r="P61" s="15" t="n">
        <x:f>'Registro de vuelos'!E62</x:f>
        <x:v>0</x:v>
      </x:c>
      <x:c r="Q61" s="21" t="n">
        <x:f>'Registro de vuelos'!F62</x:f>
        <x:v>0</x:v>
      </x:c>
      <x:c r="R61" s="21" t="str">
        <x:f>IF(N61="","",IF(AND(COUNTIFS($N$3:$N$502,N61,$O$3:$O$502,O61,$P$3:$P$502,P61,$Q$3:$Q$502,"&gt;"&amp;Q61)=0,COUNTIFS($N$3:N61,N61,$O$3:O61,O61,$P$3:P61,P61,$Q$3:Q61,Q61)=1),1,0))</x:f>
      </x:c>
      <x:c r="S61" s="21" t="n">
        <x:f t="shared" si="0">IF(R61=1,Q61,0)</x:f>
        <x:v>0</x:v>
      </x:c>
      <x:c r="T61" s="15"/>
      <x:c r="U61" s="15"/>
      <x:c r="V61" s="15"/>
      <x:c r="W61" s="15"/>
      <x:c r="X61" s="15"/>
      <x:c r="Y61" s="15"/>
      <x:c r="Z61" s="14"/>
    </x:row>
    <x:row r="62" ht="14.399999618530273" customHeight="1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93" t="n">
        <x:f>'Registro de vuelos'!A63</x:f>
        <x:v>0</x:v>
      </x:c>
      <x:c r="O62" s="15" t="n">
        <x:f>'Registro de vuelos'!C63</x:f>
        <x:v>0</x:v>
      </x:c>
      <x:c r="P62" s="15" t="n">
        <x:f>'Registro de vuelos'!E63</x:f>
        <x:v>0</x:v>
      </x:c>
      <x:c r="Q62" s="21" t="n">
        <x:f>'Registro de vuelos'!F63</x:f>
        <x:v>0</x:v>
      </x:c>
      <x:c r="R62" s="21" t="str">
        <x:f>IF(N62="","",IF(AND(COUNTIFS($N$3:$N$502,N62,$O$3:$O$502,O62,$P$3:$P$502,P62,$Q$3:$Q$502,"&gt;"&amp;Q62)=0,COUNTIFS($N$3:N62,N62,$O$3:O62,O62,$P$3:P62,P62,$Q$3:Q62,Q62)=1),1,0))</x:f>
      </x:c>
      <x:c r="S62" s="21" t="n">
        <x:f t="shared" si="0">IF(R62=1,Q62,0)</x:f>
        <x:v>0</x:v>
      </x:c>
      <x:c r="T62" s="15"/>
      <x:c r="U62" s="15"/>
      <x:c r="V62" s="15"/>
      <x:c r="W62" s="15"/>
      <x:c r="X62" s="15"/>
      <x:c r="Y62" s="15"/>
      <x:c r="Z62" s="14"/>
    </x:row>
    <x:row r="63" ht="14.399999618530273" customHeight="1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93" t="n">
        <x:f>'Registro de vuelos'!A64</x:f>
        <x:v>0</x:v>
      </x:c>
      <x:c r="O63" s="15" t="n">
        <x:f>'Registro de vuelos'!C64</x:f>
        <x:v>0</x:v>
      </x:c>
      <x:c r="P63" s="15" t="n">
        <x:f>'Registro de vuelos'!E64</x:f>
        <x:v>0</x:v>
      </x:c>
      <x:c r="Q63" s="21" t="n">
        <x:f>'Registro de vuelos'!F64</x:f>
        <x:v>0</x:v>
      </x:c>
      <x:c r="R63" s="21" t="str">
        <x:f>IF(N63="","",IF(AND(COUNTIFS($N$3:$N$502,N63,$O$3:$O$502,O63,$P$3:$P$502,P63,$Q$3:$Q$502,"&gt;"&amp;Q63)=0,COUNTIFS($N$3:N63,N63,$O$3:O63,O63,$P$3:P63,P63,$Q$3:Q63,Q63)=1),1,0))</x:f>
      </x:c>
      <x:c r="S63" s="21" t="n">
        <x:f t="shared" si="0">IF(R63=1,Q63,0)</x:f>
        <x:v>0</x:v>
      </x:c>
      <x:c r="T63" s="15"/>
      <x:c r="U63" s="15"/>
      <x:c r="V63" s="15"/>
      <x:c r="W63" s="15"/>
      <x:c r="X63" s="15"/>
      <x:c r="Y63" s="15"/>
      <x:c r="Z63" s="14"/>
    </x:row>
    <x:row r="64" ht="14.399999618530273" customHeight="1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93" t="n">
        <x:f>'Registro de vuelos'!A65</x:f>
        <x:v>0</x:v>
      </x:c>
      <x:c r="O64" s="15" t="n">
        <x:f>'Registro de vuelos'!C65</x:f>
        <x:v>0</x:v>
      </x:c>
      <x:c r="P64" s="15" t="n">
        <x:f>'Registro de vuelos'!E65</x:f>
        <x:v>0</x:v>
      </x:c>
      <x:c r="Q64" s="21" t="n">
        <x:f>'Registro de vuelos'!F65</x:f>
        <x:v>0</x:v>
      </x:c>
      <x:c r="R64" s="21" t="str">
        <x:f>IF(N64="","",IF(AND(COUNTIFS($N$3:$N$502,N64,$O$3:$O$502,O64,$P$3:$P$502,P64,$Q$3:$Q$502,"&gt;"&amp;Q64)=0,COUNTIFS($N$3:N64,N64,$O$3:O64,O64,$P$3:P64,P64,$Q$3:Q64,Q64)=1),1,0))</x:f>
      </x:c>
      <x:c r="S64" s="21" t="n">
        <x:f t="shared" si="0">IF(R64=1,Q64,0)</x:f>
        <x:v>0</x:v>
      </x:c>
      <x:c r="T64" s="15"/>
      <x:c r="U64" s="15"/>
      <x:c r="V64" s="15"/>
      <x:c r="W64" s="15"/>
      <x:c r="X64" s="15"/>
      <x:c r="Y64" s="15"/>
      <x:c r="Z64" s="14"/>
    </x:row>
    <x:row r="65" ht="14.399999618530273" customHeight="1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93" t="n">
        <x:f>'Registro de vuelos'!A66</x:f>
        <x:v>0</x:v>
      </x:c>
      <x:c r="O65" s="15" t="n">
        <x:f>'Registro de vuelos'!C66</x:f>
        <x:v>0</x:v>
      </x:c>
      <x:c r="P65" s="15" t="n">
        <x:f>'Registro de vuelos'!E66</x:f>
        <x:v>0</x:v>
      </x:c>
      <x:c r="Q65" s="21" t="n">
        <x:f>'Registro de vuelos'!F66</x:f>
        <x:v>0</x:v>
      </x:c>
      <x:c r="R65" s="21" t="str">
        <x:f>IF(N65="","",IF(AND(COUNTIFS($N$3:$N$502,N65,$O$3:$O$502,O65,$P$3:$P$502,P65,$Q$3:$Q$502,"&gt;"&amp;Q65)=0,COUNTIFS($N$3:N65,N65,$O$3:O65,O65,$P$3:P65,P65,$Q$3:Q65,Q65)=1),1,0))</x:f>
      </x:c>
      <x:c r="S65" s="21" t="n">
        <x:f t="shared" si="0">IF(R65=1,Q65,0)</x:f>
        <x:v>0</x:v>
      </x:c>
      <x:c r="T65" s="15"/>
      <x:c r="U65" s="15"/>
      <x:c r="V65" s="15"/>
      <x:c r="W65" s="15"/>
      <x:c r="X65" s="15"/>
      <x:c r="Y65" s="15"/>
      <x:c r="Z65" s="14"/>
    </x:row>
    <x:row r="66" ht="14.399999618530273" customHeight="1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93" t="n">
        <x:f>'Registro de vuelos'!A67</x:f>
        <x:v>0</x:v>
      </x:c>
      <x:c r="O66" s="15" t="n">
        <x:f>'Registro de vuelos'!C67</x:f>
        <x:v>0</x:v>
      </x:c>
      <x:c r="P66" s="15" t="n">
        <x:f>'Registro de vuelos'!E67</x:f>
        <x:v>0</x:v>
      </x:c>
      <x:c r="Q66" s="21" t="n">
        <x:f>'Registro de vuelos'!F67</x:f>
        <x:v>0</x:v>
      </x:c>
      <x:c r="R66" s="21" t="str">
        <x:f>IF(N66="","",IF(AND(COUNTIFS($N$3:$N$502,N66,$O$3:$O$502,O66,$P$3:$P$502,P66,$Q$3:$Q$502,"&gt;"&amp;Q66)=0,COUNTIFS($N$3:N66,N66,$O$3:O66,O66,$P$3:P66,P66,$Q$3:Q66,Q66)=1),1,0))</x:f>
      </x:c>
      <x:c r="S66" s="21" t="n">
        <x:f t="shared" si="0">IF(R66=1,Q66,0)</x:f>
        <x:v>0</x:v>
      </x:c>
      <x:c r="T66" s="15"/>
      <x:c r="U66" s="15"/>
      <x:c r="V66" s="15"/>
      <x:c r="W66" s="15"/>
      <x:c r="X66" s="15"/>
      <x:c r="Y66" s="15"/>
      <x:c r="Z66" s="14"/>
    </x:row>
    <x:row r="67" ht="14.399999618530273" customHeight="1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93" t="n">
        <x:f>'Registro de vuelos'!A68</x:f>
        <x:v>0</x:v>
      </x:c>
      <x:c r="O67" s="15" t="n">
        <x:f>'Registro de vuelos'!C68</x:f>
        <x:v>0</x:v>
      </x:c>
      <x:c r="P67" s="15" t="n">
        <x:f>'Registro de vuelos'!E68</x:f>
        <x:v>0</x:v>
      </x:c>
      <x:c r="Q67" s="21" t="n">
        <x:f>'Registro de vuelos'!F68</x:f>
        <x:v>0</x:v>
      </x:c>
      <x:c r="R67" s="21" t="str">
        <x:f>IF(N67="","",IF(AND(COUNTIFS($N$3:$N$502,N67,$O$3:$O$502,O67,$P$3:$P$502,P67,$Q$3:$Q$502,"&gt;"&amp;Q67)=0,COUNTIFS($N$3:N67,N67,$O$3:O67,O67,$P$3:P67,P67,$Q$3:Q67,Q67)=1),1,0))</x:f>
      </x:c>
      <x:c r="S67" s="21" t="n">
        <x:f t="shared" ref="S67:S130" si="3">IF(R67=1,Q67,0)</x:f>
        <x:v>0</x:v>
      </x:c>
      <x:c r="T67" s="15"/>
      <x:c r="U67" s="15"/>
      <x:c r="V67" s="15"/>
      <x:c r="W67" s="15"/>
      <x:c r="X67" s="15"/>
      <x:c r="Y67" s="15"/>
      <x:c r="Z67" s="14"/>
    </x:row>
    <x:row r="68" ht="14.399999618530273" customHeight="1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93" t="n">
        <x:f>'Registro de vuelos'!A69</x:f>
        <x:v>0</x:v>
      </x:c>
      <x:c r="O68" s="15" t="n">
        <x:f>'Registro de vuelos'!C69</x:f>
        <x:v>0</x:v>
      </x:c>
      <x:c r="P68" s="15" t="n">
        <x:f>'Registro de vuelos'!E69</x:f>
        <x:v>0</x:v>
      </x:c>
      <x:c r="Q68" s="21" t="n">
        <x:f>'Registro de vuelos'!F69</x:f>
        <x:v>0</x:v>
      </x:c>
      <x:c r="R68" s="21" t="str">
        <x:f>IF(N68="","",IF(AND(COUNTIFS($N$3:$N$502,N68,$O$3:$O$502,O68,$P$3:$P$502,P68,$Q$3:$Q$502,"&gt;"&amp;Q68)=0,COUNTIFS($N$3:N68,N68,$O$3:O68,O68,$P$3:P68,P68,$Q$3:Q68,Q68)=1),1,0))</x:f>
      </x:c>
      <x:c r="S68" s="21" t="n">
        <x:f t="shared" si="3">IF(R68=1,Q68,0)</x:f>
        <x:v>0</x:v>
      </x:c>
      <x:c r="T68" s="15"/>
      <x:c r="U68" s="15"/>
      <x:c r="V68" s="15"/>
      <x:c r="W68" s="15"/>
      <x:c r="X68" s="15"/>
      <x:c r="Y68" s="15"/>
      <x:c r="Z68" s="14"/>
    </x:row>
    <x:row r="69" ht="14.399999618530273" customHeight="1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93" t="n">
        <x:f>'Registro de vuelos'!A70</x:f>
        <x:v>0</x:v>
      </x:c>
      <x:c r="O69" s="15" t="n">
        <x:f>'Registro de vuelos'!C70</x:f>
        <x:v>0</x:v>
      </x:c>
      <x:c r="P69" s="15" t="n">
        <x:f>'Registro de vuelos'!E70</x:f>
        <x:v>0</x:v>
      </x:c>
      <x:c r="Q69" s="21" t="n">
        <x:f>'Registro de vuelos'!F70</x:f>
        <x:v>0</x:v>
      </x:c>
      <x:c r="R69" s="21" t="str">
        <x:f>IF(N69="","",IF(AND(COUNTIFS($N$3:$N$502,N69,$O$3:$O$502,O69,$P$3:$P$502,P69,$Q$3:$Q$502,"&gt;"&amp;Q69)=0,COUNTIFS($N$3:N69,N69,$O$3:O69,O69,$P$3:P69,P69,$Q$3:Q69,Q69)=1),1,0))</x:f>
      </x:c>
      <x:c r="S69" s="21" t="n">
        <x:f t="shared" si="3">IF(R69=1,Q69,0)</x:f>
        <x:v>0</x:v>
      </x:c>
      <x:c r="T69" s="15"/>
      <x:c r="U69" s="15"/>
      <x:c r="V69" s="15"/>
      <x:c r="W69" s="15"/>
      <x:c r="X69" s="15"/>
      <x:c r="Y69" s="15"/>
      <x:c r="Z69" s="14"/>
    </x:row>
    <x:row r="70" ht="14.399999618530273" customHeight="1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93" t="n">
        <x:f>'Registro de vuelos'!A71</x:f>
        <x:v>0</x:v>
      </x:c>
      <x:c r="O70" s="15" t="n">
        <x:f>'Registro de vuelos'!C71</x:f>
        <x:v>0</x:v>
      </x:c>
      <x:c r="P70" s="15" t="n">
        <x:f>'Registro de vuelos'!E71</x:f>
        <x:v>0</x:v>
      </x:c>
      <x:c r="Q70" s="21" t="n">
        <x:f>'Registro de vuelos'!F71</x:f>
        <x:v>0</x:v>
      </x:c>
      <x:c r="R70" s="21" t="str">
        <x:f>IF(N70="","",IF(AND(COUNTIFS($N$3:$N$502,N70,$O$3:$O$502,O70,$P$3:$P$502,P70,$Q$3:$Q$502,"&gt;"&amp;Q70)=0,COUNTIFS($N$3:N70,N70,$O$3:O70,O70,$P$3:P70,P70,$Q$3:Q70,Q70)=1),1,0))</x:f>
      </x:c>
      <x:c r="S70" s="21" t="n">
        <x:f t="shared" si="3">IF(R70=1,Q70,0)</x:f>
        <x:v>0</x:v>
      </x:c>
      <x:c r="T70" s="15"/>
      <x:c r="U70" s="15"/>
      <x:c r="V70" s="15"/>
      <x:c r="W70" s="15"/>
      <x:c r="X70" s="15"/>
      <x:c r="Y70" s="15"/>
      <x:c r="Z70" s="14"/>
    </x:row>
    <x:row r="71" ht="14.399999618530273" customHeight="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93" t="n">
        <x:f>'Registro de vuelos'!A72</x:f>
        <x:v>0</x:v>
      </x:c>
      <x:c r="O71" s="15" t="n">
        <x:f>'Registro de vuelos'!C72</x:f>
        <x:v>0</x:v>
      </x:c>
      <x:c r="P71" s="15" t="n">
        <x:f>'Registro de vuelos'!E72</x:f>
        <x:v>0</x:v>
      </x:c>
      <x:c r="Q71" s="21" t="n">
        <x:f>'Registro de vuelos'!F72</x:f>
        <x:v>0</x:v>
      </x:c>
      <x:c r="R71" s="21" t="str">
        <x:f>IF(N71="","",IF(AND(COUNTIFS($N$3:$N$502,N71,$O$3:$O$502,O71,$P$3:$P$502,P71,$Q$3:$Q$502,"&gt;"&amp;Q71)=0,COUNTIFS($N$3:N71,N71,$O$3:O71,O71,$P$3:P71,P71,$Q$3:Q71,Q71)=1),1,0))</x:f>
      </x:c>
      <x:c r="S71" s="21" t="n">
        <x:f t="shared" si="3">IF(R71=1,Q71,0)</x:f>
        <x:v>0</x:v>
      </x:c>
      <x:c r="T71" s="15"/>
      <x:c r="U71" s="15"/>
      <x:c r="V71" s="15"/>
      <x:c r="W71" s="15"/>
      <x:c r="X71" s="15"/>
      <x:c r="Y71" s="15"/>
      <x:c r="Z71" s="14"/>
    </x:row>
    <x:row r="72" ht="14.399999618530273" customHeight="1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93" t="n">
        <x:f>'Registro de vuelos'!A73</x:f>
        <x:v>0</x:v>
      </x:c>
      <x:c r="O72" s="15" t="n">
        <x:f>'Registro de vuelos'!C73</x:f>
        <x:v>0</x:v>
      </x:c>
      <x:c r="P72" s="15" t="n">
        <x:f>'Registro de vuelos'!E73</x:f>
        <x:v>0</x:v>
      </x:c>
      <x:c r="Q72" s="21" t="n">
        <x:f>'Registro de vuelos'!F73</x:f>
        <x:v>0</x:v>
      </x:c>
      <x:c r="R72" s="21" t="str">
        <x:f>IF(N72="","",IF(AND(COUNTIFS($N$3:$N$502,N72,$O$3:$O$502,O72,$P$3:$P$502,P72,$Q$3:$Q$502,"&gt;"&amp;Q72)=0,COUNTIFS($N$3:N72,N72,$O$3:O72,O72,$P$3:P72,P72,$Q$3:Q72,Q72)=1),1,0))</x:f>
      </x:c>
      <x:c r="S72" s="21" t="n">
        <x:f t="shared" si="3">IF(R72=1,Q72,0)</x:f>
        <x:v>0</x:v>
      </x:c>
      <x:c r="T72" s="15"/>
      <x:c r="U72" s="15"/>
      <x:c r="V72" s="15"/>
      <x:c r="W72" s="15"/>
      <x:c r="X72" s="15"/>
      <x:c r="Y72" s="15"/>
      <x:c r="Z72" s="14"/>
    </x:row>
    <x:row r="73" ht="14.399999618530273" customHeight="1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93" t="n">
        <x:f>'Registro de vuelos'!A74</x:f>
        <x:v>0</x:v>
      </x:c>
      <x:c r="O73" s="15" t="n">
        <x:f>'Registro de vuelos'!C74</x:f>
        <x:v>0</x:v>
      </x:c>
      <x:c r="P73" s="15" t="n">
        <x:f>'Registro de vuelos'!E74</x:f>
        <x:v>0</x:v>
      </x:c>
      <x:c r="Q73" s="21" t="n">
        <x:f>'Registro de vuelos'!F74</x:f>
        <x:v>0</x:v>
      </x:c>
      <x:c r="R73" s="21" t="str">
        <x:f>IF(N73="","",IF(AND(COUNTIFS($N$3:$N$502,N73,$O$3:$O$502,O73,$P$3:$P$502,P73,$Q$3:$Q$502,"&gt;"&amp;Q73)=0,COUNTIFS($N$3:N73,N73,$O$3:O73,O73,$P$3:P73,P73,$Q$3:Q73,Q73)=1),1,0))</x:f>
      </x:c>
      <x:c r="S73" s="21" t="n">
        <x:f t="shared" si="3">IF(R73=1,Q73,0)</x:f>
        <x:v>0</x:v>
      </x:c>
      <x:c r="T73" s="15"/>
      <x:c r="U73" s="15"/>
      <x:c r="V73" s="15"/>
      <x:c r="W73" s="15"/>
      <x:c r="X73" s="15"/>
      <x:c r="Y73" s="15"/>
      <x:c r="Z73" s="14"/>
    </x:row>
    <x:row r="74" ht="14.399999618530273" customHeight="1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93" t="n">
        <x:f>'Registro de vuelos'!A75</x:f>
        <x:v>0</x:v>
      </x:c>
      <x:c r="O74" s="15" t="n">
        <x:f>'Registro de vuelos'!C75</x:f>
        <x:v>0</x:v>
      </x:c>
      <x:c r="P74" s="15" t="n">
        <x:f>'Registro de vuelos'!E75</x:f>
        <x:v>0</x:v>
      </x:c>
      <x:c r="Q74" s="21" t="n">
        <x:f>'Registro de vuelos'!F75</x:f>
        <x:v>0</x:v>
      </x:c>
      <x:c r="R74" s="21" t="str">
        <x:f>IF(N74="","",IF(AND(COUNTIFS($N$3:$N$502,N74,$O$3:$O$502,O74,$P$3:$P$502,P74,$Q$3:$Q$502,"&gt;"&amp;Q74)=0,COUNTIFS($N$3:N74,N74,$O$3:O74,O74,$P$3:P74,P74,$Q$3:Q74,Q74)=1),1,0))</x:f>
      </x:c>
      <x:c r="S74" s="21" t="n">
        <x:f t="shared" si="3">IF(R74=1,Q74,0)</x:f>
        <x:v>0</x:v>
      </x:c>
      <x:c r="T74" s="15"/>
      <x:c r="U74" s="15"/>
      <x:c r="V74" s="15"/>
      <x:c r="W74" s="15"/>
      <x:c r="X74" s="15"/>
      <x:c r="Y74" s="15"/>
      <x:c r="Z74" s="14"/>
    </x:row>
    <x:row r="75" ht="14.399999618530273" customHeight="1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93" t="n">
        <x:f>'Registro de vuelos'!A76</x:f>
        <x:v>0</x:v>
      </x:c>
      <x:c r="O75" s="15" t="n">
        <x:f>'Registro de vuelos'!C76</x:f>
        <x:v>0</x:v>
      </x:c>
      <x:c r="P75" s="15" t="n">
        <x:f>'Registro de vuelos'!E76</x:f>
        <x:v>0</x:v>
      </x:c>
      <x:c r="Q75" s="21" t="n">
        <x:f>'Registro de vuelos'!F76</x:f>
        <x:v>0</x:v>
      </x:c>
      <x:c r="R75" s="21" t="str">
        <x:f>IF(N75="","",IF(AND(COUNTIFS($N$3:$N$502,N75,$O$3:$O$502,O75,$P$3:$P$502,P75,$Q$3:$Q$502,"&gt;"&amp;Q75)=0,COUNTIFS($N$3:N75,N75,$O$3:O75,O75,$P$3:P75,P75,$Q$3:Q75,Q75)=1),1,0))</x:f>
      </x:c>
      <x:c r="S75" s="21" t="n">
        <x:f t="shared" si="3">IF(R75=1,Q75,0)</x:f>
        <x:v>0</x:v>
      </x:c>
      <x:c r="T75" s="15"/>
      <x:c r="U75" s="15"/>
      <x:c r="V75" s="15"/>
      <x:c r="W75" s="15"/>
      <x:c r="X75" s="15"/>
      <x:c r="Y75" s="15"/>
      <x:c r="Z75" s="14"/>
    </x:row>
    <x:row r="76" ht="14.399999618530273" customHeight="1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93" t="n">
        <x:f>'Registro de vuelos'!A77</x:f>
        <x:v>0</x:v>
      </x:c>
      <x:c r="O76" s="15" t="n">
        <x:f>'Registro de vuelos'!C77</x:f>
        <x:v>0</x:v>
      </x:c>
      <x:c r="P76" s="15" t="n">
        <x:f>'Registro de vuelos'!E77</x:f>
        <x:v>0</x:v>
      </x:c>
      <x:c r="Q76" s="21" t="n">
        <x:f>'Registro de vuelos'!F77</x:f>
        <x:v>0</x:v>
      </x:c>
      <x:c r="R76" s="21" t="str">
        <x:f>IF(N76="","",IF(AND(COUNTIFS($N$3:$N$502,N76,$O$3:$O$502,O76,$P$3:$P$502,P76,$Q$3:$Q$502,"&gt;"&amp;Q76)=0,COUNTIFS($N$3:N76,N76,$O$3:O76,O76,$P$3:P76,P76,$Q$3:Q76,Q76)=1),1,0))</x:f>
      </x:c>
      <x:c r="S76" s="21" t="n">
        <x:f t="shared" si="3">IF(R76=1,Q76,0)</x:f>
        <x:v>0</x:v>
      </x:c>
      <x:c r="T76" s="15"/>
      <x:c r="U76" s="15"/>
      <x:c r="V76" s="15"/>
      <x:c r="W76" s="15"/>
      <x:c r="X76" s="15"/>
      <x:c r="Y76" s="15"/>
      <x:c r="Z76" s="14"/>
    </x:row>
    <x:row r="77" ht="14.399999618530273" customHeight="1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93" t="n">
        <x:f>'Registro de vuelos'!A78</x:f>
        <x:v>0</x:v>
      </x:c>
      <x:c r="O77" s="15" t="n">
        <x:f>'Registro de vuelos'!C78</x:f>
        <x:v>0</x:v>
      </x:c>
      <x:c r="P77" s="15" t="n">
        <x:f>'Registro de vuelos'!E78</x:f>
        <x:v>0</x:v>
      </x:c>
      <x:c r="Q77" s="21" t="n">
        <x:f>'Registro de vuelos'!F78</x:f>
        <x:v>0</x:v>
      </x:c>
      <x:c r="R77" s="21" t="str">
        <x:f>IF(N77="","",IF(AND(COUNTIFS($N$3:$N$502,N77,$O$3:$O$502,O77,$P$3:$P$502,P77,$Q$3:$Q$502,"&gt;"&amp;Q77)=0,COUNTIFS($N$3:N77,N77,$O$3:O77,O77,$P$3:P77,P77,$Q$3:Q77,Q77)=1),1,0))</x:f>
      </x:c>
      <x:c r="S77" s="21" t="n">
        <x:f t="shared" si="3">IF(R77=1,Q77,0)</x:f>
        <x:v>0</x:v>
      </x:c>
      <x:c r="T77" s="15"/>
      <x:c r="U77" s="15"/>
      <x:c r="V77" s="15"/>
      <x:c r="W77" s="15"/>
      <x:c r="X77" s="15"/>
      <x:c r="Y77" s="15"/>
      <x:c r="Z77" s="14"/>
    </x:row>
    <x:row r="78" ht="14.399999618530273" customHeight="1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93" t="n">
        <x:f>'Registro de vuelos'!A79</x:f>
        <x:v>0</x:v>
      </x:c>
      <x:c r="O78" s="15" t="n">
        <x:f>'Registro de vuelos'!C79</x:f>
        <x:v>0</x:v>
      </x:c>
      <x:c r="P78" s="15" t="n">
        <x:f>'Registro de vuelos'!E79</x:f>
        <x:v>0</x:v>
      </x:c>
      <x:c r="Q78" s="21" t="n">
        <x:f>'Registro de vuelos'!F79</x:f>
        <x:v>0</x:v>
      </x:c>
      <x:c r="R78" s="21" t="str">
        <x:f>IF(N78="","",IF(AND(COUNTIFS($N$3:$N$502,N78,$O$3:$O$502,O78,$P$3:$P$502,P78,$Q$3:$Q$502,"&gt;"&amp;Q78)=0,COUNTIFS($N$3:N78,N78,$O$3:O78,O78,$P$3:P78,P78,$Q$3:Q78,Q78)=1),1,0))</x:f>
      </x:c>
      <x:c r="S78" s="21" t="n">
        <x:f t="shared" si="3">IF(R78=1,Q78,0)</x:f>
        <x:v>0</x:v>
      </x:c>
      <x:c r="T78" s="15"/>
      <x:c r="U78" s="15"/>
      <x:c r="V78" s="15"/>
      <x:c r="W78" s="15"/>
      <x:c r="X78" s="15"/>
      <x:c r="Y78" s="15"/>
      <x:c r="Z78" s="14"/>
    </x:row>
    <x:row r="79" ht="14.399999618530273" customHeight="1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93" t="n">
        <x:f>'Registro de vuelos'!A80</x:f>
        <x:v>0</x:v>
      </x:c>
      <x:c r="O79" s="15" t="n">
        <x:f>'Registro de vuelos'!C80</x:f>
        <x:v>0</x:v>
      </x:c>
      <x:c r="P79" s="15" t="n">
        <x:f>'Registro de vuelos'!E80</x:f>
        <x:v>0</x:v>
      </x:c>
      <x:c r="Q79" s="21" t="n">
        <x:f>'Registro de vuelos'!F80</x:f>
        <x:v>0</x:v>
      </x:c>
      <x:c r="R79" s="21" t="str">
        <x:f>IF(N79="","",IF(AND(COUNTIFS($N$3:$N$502,N79,$O$3:$O$502,O79,$P$3:$P$502,P79,$Q$3:$Q$502,"&gt;"&amp;Q79)=0,COUNTIFS($N$3:N79,N79,$O$3:O79,O79,$P$3:P79,P79,$Q$3:Q79,Q79)=1),1,0))</x:f>
      </x:c>
      <x:c r="S79" s="21" t="n">
        <x:f t="shared" si="3">IF(R79=1,Q79,0)</x:f>
        <x:v>0</x:v>
      </x:c>
      <x:c r="T79" s="15"/>
      <x:c r="U79" s="15"/>
      <x:c r="V79" s="15"/>
      <x:c r="W79" s="15"/>
      <x:c r="X79" s="15"/>
      <x:c r="Y79" s="15"/>
      <x:c r="Z79" s="14"/>
    </x:row>
    <x:row r="80" ht="14.399999618530273" customHeight="1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93" t="n">
        <x:f>'Registro de vuelos'!A81</x:f>
        <x:v>0</x:v>
      </x:c>
      <x:c r="O80" s="15" t="n">
        <x:f>'Registro de vuelos'!C81</x:f>
        <x:v>0</x:v>
      </x:c>
      <x:c r="P80" s="15" t="n">
        <x:f>'Registro de vuelos'!E81</x:f>
        <x:v>0</x:v>
      </x:c>
      <x:c r="Q80" s="21" t="n">
        <x:f>'Registro de vuelos'!F81</x:f>
        <x:v>0</x:v>
      </x:c>
      <x:c r="R80" s="21" t="str">
        <x:f>IF(N80="","",IF(AND(COUNTIFS($N$3:$N$502,N80,$O$3:$O$502,O80,$P$3:$P$502,P80,$Q$3:$Q$502,"&gt;"&amp;Q80)=0,COUNTIFS($N$3:N80,N80,$O$3:O80,O80,$P$3:P80,P80,$Q$3:Q80,Q80)=1),1,0))</x:f>
      </x:c>
      <x:c r="S80" s="21" t="n">
        <x:f t="shared" si="3">IF(R80=1,Q80,0)</x:f>
        <x:v>0</x:v>
      </x:c>
      <x:c r="T80" s="15"/>
      <x:c r="U80" s="15"/>
      <x:c r="V80" s="15"/>
      <x:c r="W80" s="15"/>
      <x:c r="X80" s="15"/>
      <x:c r="Y80" s="15"/>
      <x:c r="Z80" s="14"/>
    </x:row>
    <x:row r="81" ht="14.399999618530273" customHeight="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93" t="n">
        <x:f>'Registro de vuelos'!A82</x:f>
        <x:v>0</x:v>
      </x:c>
      <x:c r="O81" s="15" t="n">
        <x:f>'Registro de vuelos'!C82</x:f>
        <x:v>0</x:v>
      </x:c>
      <x:c r="P81" s="15" t="n">
        <x:f>'Registro de vuelos'!E82</x:f>
        <x:v>0</x:v>
      </x:c>
      <x:c r="Q81" s="21" t="n">
        <x:f>'Registro de vuelos'!F82</x:f>
        <x:v>0</x:v>
      </x:c>
      <x:c r="R81" s="21" t="str">
        <x:f>IF(N81="","",IF(AND(COUNTIFS($N$3:$N$502,N81,$O$3:$O$502,O81,$P$3:$P$502,P81,$Q$3:$Q$502,"&gt;"&amp;Q81)=0,COUNTIFS($N$3:N81,N81,$O$3:O81,O81,$P$3:P81,P81,$Q$3:Q81,Q81)=1),1,0))</x:f>
      </x:c>
      <x:c r="S81" s="21" t="n">
        <x:f t="shared" si="3">IF(R81=1,Q81,0)</x:f>
        <x:v>0</x:v>
      </x:c>
      <x:c r="T81" s="15"/>
      <x:c r="U81" s="15"/>
      <x:c r="V81" s="15"/>
      <x:c r="W81" s="15"/>
      <x:c r="X81" s="15"/>
      <x:c r="Y81" s="15"/>
      <x:c r="Z81" s="14"/>
    </x:row>
    <x:row r="82" ht="14.399999618530273" customHeight="1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93" t="n">
        <x:f>'Registro de vuelos'!A83</x:f>
        <x:v>0</x:v>
      </x:c>
      <x:c r="O82" s="15" t="n">
        <x:f>'Registro de vuelos'!C83</x:f>
        <x:v>0</x:v>
      </x:c>
      <x:c r="P82" s="15" t="n">
        <x:f>'Registro de vuelos'!E83</x:f>
        <x:v>0</x:v>
      </x:c>
      <x:c r="Q82" s="21" t="n">
        <x:f>'Registro de vuelos'!F83</x:f>
        <x:v>0</x:v>
      </x:c>
      <x:c r="R82" s="21" t="str">
        <x:f>IF(N82="","",IF(AND(COUNTIFS($N$3:$N$502,N82,$O$3:$O$502,O82,$P$3:$P$502,P82,$Q$3:$Q$502,"&gt;"&amp;Q82)=0,COUNTIFS($N$3:N82,N82,$O$3:O82,O82,$P$3:P82,P82,$Q$3:Q82,Q82)=1),1,0))</x:f>
      </x:c>
      <x:c r="S82" s="21" t="n">
        <x:f t="shared" si="3">IF(R82=1,Q82,0)</x:f>
        <x:v>0</x:v>
      </x:c>
      <x:c r="T82" s="15"/>
      <x:c r="U82" s="15"/>
      <x:c r="V82" s="15"/>
      <x:c r="W82" s="15"/>
      <x:c r="X82" s="15"/>
      <x:c r="Y82" s="15"/>
      <x:c r="Z82" s="14"/>
    </x:row>
    <x:row r="83" ht="14.399999618530273" customHeight="1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93" t="n">
        <x:f>'Registro de vuelos'!A84</x:f>
        <x:v>0</x:v>
      </x:c>
      <x:c r="O83" s="15" t="n">
        <x:f>'Registro de vuelos'!C84</x:f>
        <x:v>0</x:v>
      </x:c>
      <x:c r="P83" s="15" t="n">
        <x:f>'Registro de vuelos'!E84</x:f>
        <x:v>0</x:v>
      </x:c>
      <x:c r="Q83" s="21" t="n">
        <x:f>'Registro de vuelos'!F84</x:f>
        <x:v>0</x:v>
      </x:c>
      <x:c r="R83" s="21" t="str">
        <x:f>IF(N83="","",IF(AND(COUNTIFS($N$3:$N$502,N83,$O$3:$O$502,O83,$P$3:$P$502,P83,$Q$3:$Q$502,"&gt;"&amp;Q83)=0,COUNTIFS($N$3:N83,N83,$O$3:O83,O83,$P$3:P83,P83,$Q$3:Q83,Q83)=1),1,0))</x:f>
      </x:c>
      <x:c r="S83" s="21" t="n">
        <x:f t="shared" si="3">IF(R83=1,Q83,0)</x:f>
        <x:v>0</x:v>
      </x:c>
      <x:c r="T83" s="15"/>
      <x:c r="U83" s="15"/>
      <x:c r="V83" s="15"/>
      <x:c r="W83" s="15"/>
      <x:c r="X83" s="15"/>
      <x:c r="Y83" s="15"/>
      <x:c r="Z83" s="14"/>
    </x:row>
    <x:row r="84" ht="14.399999618530273" customHeight="1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93" t="n">
        <x:f>'Registro de vuelos'!A85</x:f>
        <x:v>0</x:v>
      </x:c>
      <x:c r="O84" s="15" t="n">
        <x:f>'Registro de vuelos'!C85</x:f>
        <x:v>0</x:v>
      </x:c>
      <x:c r="P84" s="15" t="n">
        <x:f>'Registro de vuelos'!E85</x:f>
        <x:v>0</x:v>
      </x:c>
      <x:c r="Q84" s="21" t="n">
        <x:f>'Registro de vuelos'!F85</x:f>
        <x:v>0</x:v>
      </x:c>
      <x:c r="R84" s="21" t="str">
        <x:f>IF(N84="","",IF(AND(COUNTIFS($N$3:$N$502,N84,$O$3:$O$502,O84,$P$3:$P$502,P84,$Q$3:$Q$502,"&gt;"&amp;Q84)=0,COUNTIFS($N$3:N84,N84,$O$3:O84,O84,$P$3:P84,P84,$Q$3:Q84,Q84)=1),1,0))</x:f>
      </x:c>
      <x:c r="S84" s="21" t="n">
        <x:f t="shared" si="3">IF(R84=1,Q84,0)</x:f>
        <x:v>0</x:v>
      </x:c>
      <x:c r="T84" s="15"/>
      <x:c r="U84" s="15"/>
      <x:c r="V84" s="15"/>
      <x:c r="W84" s="15"/>
      <x:c r="X84" s="15"/>
      <x:c r="Y84" s="15"/>
      <x:c r="Z84" s="14"/>
    </x:row>
    <x:row r="85" ht="14.399999618530273" customHeight="1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93" t="n">
        <x:f>'Registro de vuelos'!A86</x:f>
        <x:v>0</x:v>
      </x:c>
      <x:c r="O85" s="15" t="n">
        <x:f>'Registro de vuelos'!C86</x:f>
        <x:v>0</x:v>
      </x:c>
      <x:c r="P85" s="15" t="n">
        <x:f>'Registro de vuelos'!E86</x:f>
        <x:v>0</x:v>
      </x:c>
      <x:c r="Q85" s="21" t="n">
        <x:f>'Registro de vuelos'!F86</x:f>
        <x:v>0</x:v>
      </x:c>
      <x:c r="R85" s="21" t="str">
        <x:f>IF(N85="","",IF(AND(COUNTIFS($N$3:$N$502,N85,$O$3:$O$502,O85,$P$3:$P$502,P85,$Q$3:$Q$502,"&gt;"&amp;Q85)=0,COUNTIFS($N$3:N85,N85,$O$3:O85,O85,$P$3:P85,P85,$Q$3:Q85,Q85)=1),1,0))</x:f>
      </x:c>
      <x:c r="S85" s="21" t="n">
        <x:f t="shared" si="3">IF(R85=1,Q85,0)</x:f>
        <x:v>0</x:v>
      </x:c>
      <x:c r="T85" s="15"/>
      <x:c r="U85" s="15"/>
      <x:c r="V85" s="15"/>
      <x:c r="W85" s="15"/>
      <x:c r="X85" s="15"/>
      <x:c r="Y85" s="15"/>
      <x:c r="Z85" s="14"/>
    </x:row>
    <x:row r="86" ht="14.399999618530273" customHeight="1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93" t="n">
        <x:f>'Registro de vuelos'!A87</x:f>
        <x:v>0</x:v>
      </x:c>
      <x:c r="O86" s="15" t="n">
        <x:f>'Registro de vuelos'!C87</x:f>
        <x:v>0</x:v>
      </x:c>
      <x:c r="P86" s="15" t="n">
        <x:f>'Registro de vuelos'!E87</x:f>
        <x:v>0</x:v>
      </x:c>
      <x:c r="Q86" s="21" t="n">
        <x:f>'Registro de vuelos'!F87</x:f>
        <x:v>0</x:v>
      </x:c>
      <x:c r="R86" s="21" t="str">
        <x:f>IF(N86="","",IF(AND(COUNTIFS($N$3:$N$502,N86,$O$3:$O$502,O86,$P$3:$P$502,P86,$Q$3:$Q$502,"&gt;"&amp;Q86)=0,COUNTIFS($N$3:N86,N86,$O$3:O86,O86,$P$3:P86,P86,$Q$3:Q86,Q86)=1),1,0))</x:f>
      </x:c>
      <x:c r="S86" s="21" t="n">
        <x:f t="shared" si="3">IF(R86=1,Q86,0)</x:f>
        <x:v>0</x:v>
      </x:c>
      <x:c r="T86" s="15"/>
      <x:c r="U86" s="15"/>
      <x:c r="V86" s="15"/>
      <x:c r="W86" s="15"/>
      <x:c r="X86" s="15"/>
      <x:c r="Y86" s="15"/>
      <x:c r="Z86" s="14"/>
    </x:row>
    <x:row r="87" ht="14.399999618530273" customHeight="1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93" t="n">
        <x:f>'Registro de vuelos'!A88</x:f>
        <x:v>0</x:v>
      </x:c>
      <x:c r="O87" s="15" t="n">
        <x:f>'Registro de vuelos'!C88</x:f>
        <x:v>0</x:v>
      </x:c>
      <x:c r="P87" s="15" t="n">
        <x:f>'Registro de vuelos'!E88</x:f>
        <x:v>0</x:v>
      </x:c>
      <x:c r="Q87" s="21" t="n">
        <x:f>'Registro de vuelos'!F88</x:f>
        <x:v>0</x:v>
      </x:c>
      <x:c r="R87" s="21" t="str">
        <x:f>IF(N87="","",IF(AND(COUNTIFS($N$3:$N$502,N87,$O$3:$O$502,O87,$P$3:$P$502,P87,$Q$3:$Q$502,"&gt;"&amp;Q87)=0,COUNTIFS($N$3:N87,N87,$O$3:O87,O87,$P$3:P87,P87,$Q$3:Q87,Q87)=1),1,0))</x:f>
      </x:c>
      <x:c r="S87" s="21" t="n">
        <x:f t="shared" si="3">IF(R87=1,Q87,0)</x:f>
        <x:v>0</x:v>
      </x:c>
      <x:c r="T87" s="15"/>
      <x:c r="U87" s="15"/>
      <x:c r="V87" s="15"/>
      <x:c r="W87" s="15"/>
      <x:c r="X87" s="15"/>
      <x:c r="Y87" s="15"/>
      <x:c r="Z87" s="14"/>
    </x:row>
    <x:row r="88" ht="14.399999618530273" customHeight="1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93" t="n">
        <x:f>'Registro de vuelos'!A89</x:f>
        <x:v>0</x:v>
      </x:c>
      <x:c r="O88" s="15" t="n">
        <x:f>'Registro de vuelos'!C89</x:f>
        <x:v>0</x:v>
      </x:c>
      <x:c r="P88" s="15" t="n">
        <x:f>'Registro de vuelos'!E89</x:f>
        <x:v>0</x:v>
      </x:c>
      <x:c r="Q88" s="21" t="n">
        <x:f>'Registro de vuelos'!F89</x:f>
        <x:v>0</x:v>
      </x:c>
      <x:c r="R88" s="21" t="str">
        <x:f>IF(N88="","",IF(AND(COUNTIFS($N$3:$N$502,N88,$O$3:$O$502,O88,$P$3:$P$502,P88,$Q$3:$Q$502,"&gt;"&amp;Q88)=0,COUNTIFS($N$3:N88,N88,$O$3:O88,O88,$P$3:P88,P88,$Q$3:Q88,Q88)=1),1,0))</x:f>
      </x:c>
      <x:c r="S88" s="21" t="n">
        <x:f t="shared" si="3">IF(R88=1,Q88,0)</x:f>
        <x:v>0</x:v>
      </x:c>
      <x:c r="T88" s="15"/>
      <x:c r="U88" s="15"/>
      <x:c r="V88" s="15"/>
      <x:c r="W88" s="15"/>
      <x:c r="X88" s="15"/>
      <x:c r="Y88" s="15"/>
      <x:c r="Z88" s="14"/>
    </x:row>
    <x:row r="89" ht="14.399999618530273" customHeight="1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93" t="n">
        <x:f>'Registro de vuelos'!A90</x:f>
        <x:v>0</x:v>
      </x:c>
      <x:c r="O89" s="15" t="n">
        <x:f>'Registro de vuelos'!C90</x:f>
        <x:v>0</x:v>
      </x:c>
      <x:c r="P89" s="15" t="n">
        <x:f>'Registro de vuelos'!E90</x:f>
        <x:v>0</x:v>
      </x:c>
      <x:c r="Q89" s="21" t="n">
        <x:f>'Registro de vuelos'!F90</x:f>
        <x:v>0</x:v>
      </x:c>
      <x:c r="R89" s="21" t="str">
        <x:f>IF(N89="","",IF(AND(COUNTIFS($N$3:$N$502,N89,$O$3:$O$502,O89,$P$3:$P$502,P89,$Q$3:$Q$502,"&gt;"&amp;Q89)=0,COUNTIFS($N$3:N89,N89,$O$3:O89,O89,$P$3:P89,P89,$Q$3:Q89,Q89)=1),1,0))</x:f>
      </x:c>
      <x:c r="S89" s="21" t="n">
        <x:f t="shared" si="3">IF(R89=1,Q89,0)</x:f>
        <x:v>0</x:v>
      </x:c>
      <x:c r="T89" s="15"/>
      <x:c r="U89" s="15"/>
      <x:c r="V89" s="15"/>
      <x:c r="W89" s="15"/>
      <x:c r="X89" s="15"/>
      <x:c r="Y89" s="15"/>
      <x:c r="Z89" s="14"/>
    </x:row>
    <x:row r="90" ht="14.399999618530273" customHeight="1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93" t="n">
        <x:f>'Registro de vuelos'!A91</x:f>
        <x:v>0</x:v>
      </x:c>
      <x:c r="O90" s="15" t="n">
        <x:f>'Registro de vuelos'!C91</x:f>
        <x:v>0</x:v>
      </x:c>
      <x:c r="P90" s="15" t="n">
        <x:f>'Registro de vuelos'!E91</x:f>
        <x:v>0</x:v>
      </x:c>
      <x:c r="Q90" s="21" t="n">
        <x:f>'Registro de vuelos'!F91</x:f>
        <x:v>0</x:v>
      </x:c>
      <x:c r="R90" s="21" t="str">
        <x:f>IF(N90="","",IF(AND(COUNTIFS($N$3:$N$502,N90,$O$3:$O$502,O90,$P$3:$P$502,P90,$Q$3:$Q$502,"&gt;"&amp;Q90)=0,COUNTIFS($N$3:N90,N90,$O$3:O90,O90,$P$3:P90,P90,$Q$3:Q90,Q90)=1),1,0))</x:f>
      </x:c>
      <x:c r="S90" s="21" t="n">
        <x:f t="shared" si="3">IF(R90=1,Q90,0)</x:f>
        <x:v>0</x:v>
      </x:c>
      <x:c r="T90" s="15"/>
      <x:c r="U90" s="15"/>
      <x:c r="V90" s="15"/>
      <x:c r="W90" s="15"/>
      <x:c r="X90" s="15"/>
      <x:c r="Y90" s="15"/>
      <x:c r="Z90" s="14"/>
    </x:row>
    <x:row r="91" ht="14.399999618530273" customHeight="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93" t="n">
        <x:f>'Registro de vuelos'!A92</x:f>
        <x:v>0</x:v>
      </x:c>
      <x:c r="O91" s="15" t="n">
        <x:f>'Registro de vuelos'!C92</x:f>
        <x:v>0</x:v>
      </x:c>
      <x:c r="P91" s="15" t="n">
        <x:f>'Registro de vuelos'!E92</x:f>
        <x:v>0</x:v>
      </x:c>
      <x:c r="Q91" s="21" t="n">
        <x:f>'Registro de vuelos'!F92</x:f>
        <x:v>0</x:v>
      </x:c>
      <x:c r="R91" s="21" t="str">
        <x:f>IF(N91="","",IF(AND(COUNTIFS($N$3:$N$502,N91,$O$3:$O$502,O91,$P$3:$P$502,P91,$Q$3:$Q$502,"&gt;"&amp;Q91)=0,COUNTIFS($N$3:N91,N91,$O$3:O91,O91,$P$3:P91,P91,$Q$3:Q91,Q91)=1),1,0))</x:f>
      </x:c>
      <x:c r="S91" s="21" t="n">
        <x:f t="shared" si="3">IF(R91=1,Q91,0)</x:f>
        <x:v>0</x:v>
      </x:c>
      <x:c r="T91" s="15"/>
      <x:c r="U91" s="15"/>
      <x:c r="V91" s="15"/>
      <x:c r="W91" s="15"/>
      <x:c r="X91" s="15"/>
      <x:c r="Y91" s="15"/>
      <x:c r="Z91" s="14"/>
    </x:row>
    <x:row r="92" ht="14.399999618530273" customHeight="1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93" t="n">
        <x:f>'Registro de vuelos'!A93</x:f>
        <x:v>0</x:v>
      </x:c>
      <x:c r="O92" s="15" t="n">
        <x:f>'Registro de vuelos'!C93</x:f>
        <x:v>0</x:v>
      </x:c>
      <x:c r="P92" s="15" t="n">
        <x:f>'Registro de vuelos'!E93</x:f>
        <x:v>0</x:v>
      </x:c>
      <x:c r="Q92" s="21" t="n">
        <x:f>'Registro de vuelos'!F93</x:f>
        <x:v>0</x:v>
      </x:c>
      <x:c r="R92" s="21" t="str">
        <x:f>IF(N92="","",IF(AND(COUNTIFS($N$3:$N$502,N92,$O$3:$O$502,O92,$P$3:$P$502,P92,$Q$3:$Q$502,"&gt;"&amp;Q92)=0,COUNTIFS($N$3:N92,N92,$O$3:O92,O92,$P$3:P92,P92,$Q$3:Q92,Q92)=1),1,0))</x:f>
      </x:c>
      <x:c r="S92" s="21" t="n">
        <x:f t="shared" si="3">IF(R92=1,Q92,0)</x:f>
        <x:v>0</x:v>
      </x:c>
      <x:c r="T92" s="15"/>
      <x:c r="U92" s="15"/>
      <x:c r="V92" s="15"/>
      <x:c r="W92" s="15"/>
      <x:c r="X92" s="15"/>
      <x:c r="Y92" s="15"/>
      <x:c r="Z92" s="14"/>
    </x:row>
    <x:row r="93" ht="14.399999618530273" customHeight="1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93" t="n">
        <x:f>'Registro de vuelos'!A94</x:f>
        <x:v>0</x:v>
      </x:c>
      <x:c r="O93" s="15" t="n">
        <x:f>'Registro de vuelos'!C94</x:f>
        <x:v>0</x:v>
      </x:c>
      <x:c r="P93" s="15" t="n">
        <x:f>'Registro de vuelos'!E94</x:f>
        <x:v>0</x:v>
      </x:c>
      <x:c r="Q93" s="21" t="n">
        <x:f>'Registro de vuelos'!F94</x:f>
        <x:v>0</x:v>
      </x:c>
      <x:c r="R93" s="21" t="str">
        <x:f>IF(N93="","",IF(AND(COUNTIFS($N$3:$N$502,N93,$O$3:$O$502,O93,$P$3:$P$502,P93,$Q$3:$Q$502,"&gt;"&amp;Q93)=0,COUNTIFS($N$3:N93,N93,$O$3:O93,O93,$P$3:P93,P93,$Q$3:Q93,Q93)=1),1,0))</x:f>
      </x:c>
      <x:c r="S93" s="21" t="n">
        <x:f t="shared" si="3">IF(R93=1,Q93,0)</x:f>
        <x:v>0</x:v>
      </x:c>
      <x:c r="T93" s="15"/>
      <x:c r="U93" s="15"/>
      <x:c r="V93" s="15"/>
      <x:c r="W93" s="15"/>
      <x:c r="X93" s="15"/>
      <x:c r="Y93" s="15"/>
      <x:c r="Z93" s="14"/>
    </x:row>
    <x:row r="94" ht="14.399999618530273" customHeight="1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93" t="n">
        <x:f>'Registro de vuelos'!A95</x:f>
        <x:v>0</x:v>
      </x:c>
      <x:c r="O94" s="15" t="n">
        <x:f>'Registro de vuelos'!C95</x:f>
        <x:v>0</x:v>
      </x:c>
      <x:c r="P94" s="15" t="n">
        <x:f>'Registro de vuelos'!E95</x:f>
        <x:v>0</x:v>
      </x:c>
      <x:c r="Q94" s="21" t="n">
        <x:f>'Registro de vuelos'!F95</x:f>
        <x:v>0</x:v>
      </x:c>
      <x:c r="R94" s="21" t="str">
        <x:f>IF(N94="","",IF(AND(COUNTIFS($N$3:$N$502,N94,$O$3:$O$502,O94,$P$3:$P$502,P94,$Q$3:$Q$502,"&gt;"&amp;Q94)=0,COUNTIFS($N$3:N94,N94,$O$3:O94,O94,$P$3:P94,P94,$Q$3:Q94,Q94)=1),1,0))</x:f>
      </x:c>
      <x:c r="S94" s="21" t="n">
        <x:f t="shared" si="3">IF(R94=1,Q94,0)</x:f>
        <x:v>0</x:v>
      </x:c>
      <x:c r="T94" s="15"/>
      <x:c r="U94" s="15"/>
      <x:c r="V94" s="15"/>
      <x:c r="W94" s="15"/>
      <x:c r="X94" s="15"/>
      <x:c r="Y94" s="15"/>
      <x:c r="Z94" s="14"/>
    </x:row>
    <x:row r="95" ht="14.399999618530273" customHeight="1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93" t="n">
        <x:f>'Registro de vuelos'!A96</x:f>
        <x:v>0</x:v>
      </x:c>
      <x:c r="O95" s="15" t="n">
        <x:f>'Registro de vuelos'!C96</x:f>
        <x:v>0</x:v>
      </x:c>
      <x:c r="P95" s="15" t="n">
        <x:f>'Registro de vuelos'!E96</x:f>
        <x:v>0</x:v>
      </x:c>
      <x:c r="Q95" s="21" t="n">
        <x:f>'Registro de vuelos'!F96</x:f>
        <x:v>0</x:v>
      </x:c>
      <x:c r="R95" s="21" t="str">
        <x:f>IF(N95="","",IF(AND(COUNTIFS($N$3:$N$502,N95,$O$3:$O$502,O95,$P$3:$P$502,P95,$Q$3:$Q$502,"&gt;"&amp;Q95)=0,COUNTIFS($N$3:N95,N95,$O$3:O95,O95,$P$3:P95,P95,$Q$3:Q95,Q95)=1),1,0))</x:f>
      </x:c>
      <x:c r="S95" s="21" t="n">
        <x:f t="shared" si="3">IF(R95=1,Q95,0)</x:f>
        <x:v>0</x:v>
      </x:c>
      <x:c r="T95" s="15"/>
      <x:c r="U95" s="15"/>
      <x:c r="V95" s="15"/>
      <x:c r="W95" s="15"/>
      <x:c r="X95" s="15"/>
      <x:c r="Y95" s="15"/>
      <x:c r="Z95" s="14"/>
    </x:row>
    <x:row r="96" ht="14.399999618530273" customHeight="1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93" t="n">
        <x:f>'Registro de vuelos'!A97</x:f>
        <x:v>0</x:v>
      </x:c>
      <x:c r="O96" s="15" t="n">
        <x:f>'Registro de vuelos'!C97</x:f>
        <x:v>0</x:v>
      </x:c>
      <x:c r="P96" s="15" t="n">
        <x:f>'Registro de vuelos'!E97</x:f>
        <x:v>0</x:v>
      </x:c>
      <x:c r="Q96" s="21" t="n">
        <x:f>'Registro de vuelos'!F97</x:f>
        <x:v>0</x:v>
      </x:c>
      <x:c r="R96" s="21" t="str">
        <x:f>IF(N96="","",IF(AND(COUNTIFS($N$3:$N$502,N96,$O$3:$O$502,O96,$P$3:$P$502,P96,$Q$3:$Q$502,"&gt;"&amp;Q96)=0,COUNTIFS($N$3:N96,N96,$O$3:O96,O96,$P$3:P96,P96,$Q$3:Q96,Q96)=1),1,0))</x:f>
      </x:c>
      <x:c r="S96" s="21" t="n">
        <x:f t="shared" si="3">IF(R96=1,Q96,0)</x:f>
        <x:v>0</x:v>
      </x:c>
      <x:c r="T96" s="15"/>
      <x:c r="U96" s="15"/>
      <x:c r="V96" s="15"/>
      <x:c r="W96" s="15"/>
      <x:c r="X96" s="15"/>
      <x:c r="Y96" s="15"/>
      <x:c r="Z96" s="14"/>
    </x:row>
    <x:row r="97" ht="14.399999618530273" customHeight="1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93" t="n">
        <x:f>'Registro de vuelos'!A98</x:f>
        <x:v>0</x:v>
      </x:c>
      <x:c r="O97" s="15" t="n">
        <x:f>'Registro de vuelos'!C98</x:f>
        <x:v>0</x:v>
      </x:c>
      <x:c r="P97" s="15" t="n">
        <x:f>'Registro de vuelos'!E98</x:f>
        <x:v>0</x:v>
      </x:c>
      <x:c r="Q97" s="21" t="n">
        <x:f>'Registro de vuelos'!F98</x:f>
        <x:v>0</x:v>
      </x:c>
      <x:c r="R97" s="21" t="str">
        <x:f>IF(N97="","",IF(AND(COUNTIFS($N$3:$N$502,N97,$O$3:$O$502,O97,$P$3:$P$502,P97,$Q$3:$Q$502,"&gt;"&amp;Q97)=0,COUNTIFS($N$3:N97,N97,$O$3:O97,O97,$P$3:P97,P97,$Q$3:Q97,Q97)=1),1,0))</x:f>
      </x:c>
      <x:c r="S97" s="21" t="n">
        <x:f t="shared" si="3">IF(R97=1,Q97,0)</x:f>
        <x:v>0</x:v>
      </x:c>
      <x:c r="T97" s="15"/>
      <x:c r="U97" s="15"/>
      <x:c r="V97" s="15"/>
      <x:c r="W97" s="15"/>
      <x:c r="X97" s="15"/>
      <x:c r="Y97" s="15"/>
      <x:c r="Z97" s="14"/>
    </x:row>
    <x:row r="98" ht="14.399999618530273" customHeight="1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93" t="n">
        <x:f>'Registro de vuelos'!A99</x:f>
        <x:v>0</x:v>
      </x:c>
      <x:c r="O98" s="15" t="n">
        <x:f>'Registro de vuelos'!C99</x:f>
        <x:v>0</x:v>
      </x:c>
      <x:c r="P98" s="15" t="n">
        <x:f>'Registro de vuelos'!E99</x:f>
        <x:v>0</x:v>
      </x:c>
      <x:c r="Q98" s="21" t="n">
        <x:f>'Registro de vuelos'!F99</x:f>
        <x:v>0</x:v>
      </x:c>
      <x:c r="R98" s="21" t="str">
        <x:f>IF(N98="","",IF(AND(COUNTIFS($N$3:$N$502,N98,$O$3:$O$502,O98,$P$3:$P$502,P98,$Q$3:$Q$502,"&gt;"&amp;Q98)=0,COUNTIFS($N$3:N98,N98,$O$3:O98,O98,$P$3:P98,P98,$Q$3:Q98,Q98)=1),1,0))</x:f>
      </x:c>
      <x:c r="S98" s="21" t="n">
        <x:f t="shared" si="3">IF(R98=1,Q98,0)</x:f>
        <x:v>0</x:v>
      </x:c>
      <x:c r="T98" s="15"/>
      <x:c r="U98" s="15"/>
      <x:c r="V98" s="15"/>
      <x:c r="W98" s="15"/>
      <x:c r="X98" s="15"/>
      <x:c r="Y98" s="15"/>
      <x:c r="Z98" s="14"/>
    </x:row>
    <x:row r="99" ht="14.399999618530273" customHeight="1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93" t="n">
        <x:f>'Registro de vuelos'!A100</x:f>
        <x:v>0</x:v>
      </x:c>
      <x:c r="O99" s="15" t="n">
        <x:f>'Registro de vuelos'!C100</x:f>
        <x:v>0</x:v>
      </x:c>
      <x:c r="P99" s="15" t="n">
        <x:f>'Registro de vuelos'!E100</x:f>
        <x:v>0</x:v>
      </x:c>
      <x:c r="Q99" s="21" t="n">
        <x:f>'Registro de vuelos'!F100</x:f>
        <x:v>0</x:v>
      </x:c>
      <x:c r="R99" s="21" t="str">
        <x:f>IF(N99="","",IF(AND(COUNTIFS($N$3:$N$502,N99,$O$3:$O$502,O99,$P$3:$P$502,P99,$Q$3:$Q$502,"&gt;"&amp;Q99)=0,COUNTIFS($N$3:N99,N99,$O$3:O99,O99,$P$3:P99,P99,$Q$3:Q99,Q99)=1),1,0))</x:f>
      </x:c>
      <x:c r="S99" s="21" t="n">
        <x:f t="shared" si="3">IF(R99=1,Q99,0)</x:f>
        <x:v>0</x:v>
      </x:c>
      <x:c r="T99" s="15"/>
      <x:c r="U99" s="15"/>
      <x:c r="V99" s="15"/>
      <x:c r="W99" s="15"/>
      <x:c r="X99" s="15"/>
      <x:c r="Y99" s="15"/>
      <x:c r="Z99" s="14"/>
    </x:row>
    <x:row r="100" ht="14.399999618530273" customHeight="1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93" t="n">
        <x:f>'Registro de vuelos'!A101</x:f>
        <x:v>0</x:v>
      </x:c>
      <x:c r="O100" s="15" t="n">
        <x:f>'Registro de vuelos'!C101</x:f>
        <x:v>0</x:v>
      </x:c>
      <x:c r="P100" s="15" t="n">
        <x:f>'Registro de vuelos'!E101</x:f>
        <x:v>0</x:v>
      </x:c>
      <x:c r="Q100" s="21" t="n">
        <x:f>'Registro de vuelos'!F101</x:f>
        <x:v>0</x:v>
      </x:c>
      <x:c r="R100" s="21" t="str">
        <x:f>IF(N100="","",IF(AND(COUNTIFS($N$3:$N$502,N100,$O$3:$O$502,O100,$P$3:$P$502,P100,$Q$3:$Q$502,"&gt;"&amp;Q100)=0,COUNTIFS($N$3:N100,N100,$O$3:O100,O100,$P$3:P100,P100,$Q$3:Q100,Q100)=1),1,0))</x:f>
      </x:c>
      <x:c r="S100" s="21" t="n">
        <x:f t="shared" si="3">IF(R100=1,Q100,0)</x:f>
        <x:v>0</x:v>
      </x:c>
      <x:c r="T100" s="15"/>
      <x:c r="U100" s="15"/>
      <x:c r="V100" s="15"/>
      <x:c r="W100" s="15"/>
      <x:c r="X100" s="15"/>
      <x:c r="Y100" s="15"/>
      <x:c r="Z100" s="14"/>
    </x:row>
    <x:row r="101" ht="14.399999618530273" customHeight="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93" t="n">
        <x:f>'Registro de vuelos'!A102</x:f>
        <x:v>0</x:v>
      </x:c>
      <x:c r="O101" s="15" t="n">
        <x:f>'Registro de vuelos'!C102</x:f>
        <x:v>0</x:v>
      </x:c>
      <x:c r="P101" s="15" t="n">
        <x:f>'Registro de vuelos'!E102</x:f>
        <x:v>0</x:v>
      </x:c>
      <x:c r="Q101" s="21" t="n">
        <x:f>'Registro de vuelos'!F102</x:f>
        <x:v>0</x:v>
      </x:c>
      <x:c r="R101" s="21" t="str">
        <x:f>IF(N101="","",IF(AND(COUNTIFS($N$3:$N$502,N101,$O$3:$O$502,O101,$P$3:$P$502,P101,$Q$3:$Q$502,"&gt;"&amp;Q101)=0,COUNTIFS($N$3:N101,N101,$O$3:O101,O101,$P$3:P101,P101,$Q$3:Q101,Q101)=1),1,0))</x:f>
      </x:c>
      <x:c r="S101" s="21" t="n">
        <x:f t="shared" si="3">IF(R101=1,Q101,0)</x:f>
        <x:v>0</x:v>
      </x:c>
      <x:c r="T101" s="15"/>
      <x:c r="U101" s="15"/>
      <x:c r="V101" s="15"/>
      <x:c r="W101" s="15"/>
      <x:c r="X101" s="15"/>
      <x:c r="Y101" s="15"/>
      <x:c r="Z101" s="14"/>
    </x:row>
    <x:row r="102" ht="14.399999618530273" customHeight="1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93" t="n">
        <x:f>'Registro de vuelos'!A103</x:f>
        <x:v>0</x:v>
      </x:c>
      <x:c r="O102" s="15" t="n">
        <x:f>'Registro de vuelos'!C103</x:f>
        <x:v>0</x:v>
      </x:c>
      <x:c r="P102" s="15" t="n">
        <x:f>'Registro de vuelos'!E103</x:f>
        <x:v>0</x:v>
      </x:c>
      <x:c r="Q102" s="21" t="n">
        <x:f>'Registro de vuelos'!F103</x:f>
        <x:v>0</x:v>
      </x:c>
      <x:c r="R102" s="21" t="str">
        <x:f>IF(N102="","",IF(AND(COUNTIFS($N$3:$N$502,N102,$O$3:$O$502,O102,$P$3:$P$502,P102,$Q$3:$Q$502,"&gt;"&amp;Q102)=0,COUNTIFS($N$3:N102,N102,$O$3:O102,O102,$P$3:P102,P102,$Q$3:Q102,Q102)=1),1,0))</x:f>
      </x:c>
      <x:c r="S102" s="21" t="n">
        <x:f t="shared" si="3">IF(R102=1,Q102,0)</x:f>
        <x:v>0</x:v>
      </x:c>
      <x:c r="T102" s="15"/>
      <x:c r="U102" s="15"/>
      <x:c r="V102" s="15"/>
      <x:c r="W102" s="15"/>
      <x:c r="X102" s="15"/>
      <x:c r="Y102" s="15"/>
      <x:c r="Z102" s="14"/>
    </x:row>
    <x:row r="103" ht="14.399999618530273" customHeight="1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93" t="n">
        <x:f>'Registro de vuelos'!A104</x:f>
        <x:v>0</x:v>
      </x:c>
      <x:c r="O103" s="15" t="n">
        <x:f>'Registro de vuelos'!C104</x:f>
        <x:v>0</x:v>
      </x:c>
      <x:c r="P103" s="15" t="n">
        <x:f>'Registro de vuelos'!E104</x:f>
        <x:v>0</x:v>
      </x:c>
      <x:c r="Q103" s="21" t="n">
        <x:f>'Registro de vuelos'!F104</x:f>
        <x:v>0</x:v>
      </x:c>
      <x:c r="R103" s="21" t="str">
        <x:f>IF(N103="","",IF(AND(COUNTIFS($N$3:$N$502,N103,$O$3:$O$502,O103,$P$3:$P$502,P103,$Q$3:$Q$502,"&gt;"&amp;Q103)=0,COUNTIFS($N$3:N103,N103,$O$3:O103,O103,$P$3:P103,P103,$Q$3:Q103,Q103)=1),1,0))</x:f>
      </x:c>
      <x:c r="S103" s="21" t="n">
        <x:f t="shared" si="3">IF(R103=1,Q103,0)</x:f>
        <x:v>0</x:v>
      </x:c>
      <x:c r="T103" s="15"/>
      <x:c r="U103" s="15"/>
      <x:c r="V103" s="15"/>
      <x:c r="W103" s="15"/>
      <x:c r="X103" s="15"/>
      <x:c r="Y103" s="15"/>
      <x:c r="Z103" s="14"/>
    </x:row>
    <x:row r="104" ht="14.399999618530273" customHeight="1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93" t="n">
        <x:f>'Registro de vuelos'!A105</x:f>
        <x:v>0</x:v>
      </x:c>
      <x:c r="O104" s="15" t="n">
        <x:f>'Registro de vuelos'!C105</x:f>
        <x:v>0</x:v>
      </x:c>
      <x:c r="P104" s="15" t="n">
        <x:f>'Registro de vuelos'!E105</x:f>
        <x:v>0</x:v>
      </x:c>
      <x:c r="Q104" s="21" t="n">
        <x:f>'Registro de vuelos'!F105</x:f>
        <x:v>0</x:v>
      </x:c>
      <x:c r="R104" s="21" t="str">
        <x:f>IF(N104="","",IF(AND(COUNTIFS($N$3:$N$502,N104,$O$3:$O$502,O104,$P$3:$P$502,P104,$Q$3:$Q$502,"&gt;"&amp;Q104)=0,COUNTIFS($N$3:N104,N104,$O$3:O104,O104,$P$3:P104,P104,$Q$3:Q104,Q104)=1),1,0))</x:f>
      </x:c>
      <x:c r="S104" s="21" t="n">
        <x:f t="shared" si="3">IF(R104=1,Q104,0)</x:f>
        <x:v>0</x:v>
      </x:c>
      <x:c r="T104" s="15"/>
      <x:c r="U104" s="15"/>
      <x:c r="V104" s="15"/>
      <x:c r="W104" s="15"/>
      <x:c r="X104" s="15"/>
      <x:c r="Y104" s="15"/>
      <x:c r="Z104" s="14"/>
    </x:row>
    <x:row r="105" ht="14.399999618530273" customHeight="1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93" t="n">
        <x:f>'Registro de vuelos'!A106</x:f>
        <x:v>0</x:v>
      </x:c>
      <x:c r="O105" s="15" t="n">
        <x:f>'Registro de vuelos'!C106</x:f>
        <x:v>0</x:v>
      </x:c>
      <x:c r="P105" s="15" t="n">
        <x:f>'Registro de vuelos'!E106</x:f>
        <x:v>0</x:v>
      </x:c>
      <x:c r="Q105" s="21" t="n">
        <x:f>'Registro de vuelos'!F106</x:f>
        <x:v>0</x:v>
      </x:c>
      <x:c r="R105" s="21" t="str">
        <x:f>IF(N105="","",IF(AND(COUNTIFS($N$3:$N$502,N105,$O$3:$O$502,O105,$P$3:$P$502,P105,$Q$3:$Q$502,"&gt;"&amp;Q105)=0,COUNTIFS($N$3:N105,N105,$O$3:O105,O105,$P$3:P105,P105,$Q$3:Q105,Q105)=1),1,0))</x:f>
      </x:c>
      <x:c r="S105" s="21" t="n">
        <x:f t="shared" si="3">IF(R105=1,Q105,0)</x:f>
        <x:v>0</x:v>
      </x:c>
      <x:c r="T105" s="15"/>
      <x:c r="U105" s="15"/>
      <x:c r="V105" s="15"/>
      <x:c r="W105" s="15"/>
      <x:c r="X105" s="15"/>
      <x:c r="Y105" s="15"/>
      <x:c r="Z105" s="14"/>
    </x:row>
    <x:row r="106" ht="14.399999618530273" customHeight="1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93" t="n">
        <x:f>'Registro de vuelos'!A107</x:f>
        <x:v>0</x:v>
      </x:c>
      <x:c r="O106" s="15" t="n">
        <x:f>'Registro de vuelos'!C107</x:f>
        <x:v>0</x:v>
      </x:c>
      <x:c r="P106" s="15" t="n">
        <x:f>'Registro de vuelos'!E107</x:f>
        <x:v>0</x:v>
      </x:c>
      <x:c r="Q106" s="21" t="n">
        <x:f>'Registro de vuelos'!F107</x:f>
        <x:v>0</x:v>
      </x:c>
      <x:c r="R106" s="21" t="str">
        <x:f>IF(N106="","",IF(AND(COUNTIFS($N$3:$N$502,N106,$O$3:$O$502,O106,$P$3:$P$502,P106,$Q$3:$Q$502,"&gt;"&amp;Q106)=0,COUNTIFS($N$3:N106,N106,$O$3:O106,O106,$P$3:P106,P106,$Q$3:Q106,Q106)=1),1,0))</x:f>
      </x:c>
      <x:c r="S106" s="21" t="n">
        <x:f t="shared" si="3">IF(R106=1,Q106,0)</x:f>
        <x:v>0</x:v>
      </x:c>
      <x:c r="T106" s="15"/>
      <x:c r="U106" s="15"/>
      <x:c r="V106" s="15"/>
      <x:c r="W106" s="15"/>
      <x:c r="X106" s="15"/>
      <x:c r="Y106" s="15"/>
      <x:c r="Z106" s="14"/>
    </x:row>
    <x:row r="107" ht="14.399999618530273" customHeight="1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93" t="n">
        <x:f>'Registro de vuelos'!A108</x:f>
        <x:v>0</x:v>
      </x:c>
      <x:c r="O107" s="15" t="n">
        <x:f>'Registro de vuelos'!C108</x:f>
        <x:v>0</x:v>
      </x:c>
      <x:c r="P107" s="15" t="n">
        <x:f>'Registro de vuelos'!E108</x:f>
        <x:v>0</x:v>
      </x:c>
      <x:c r="Q107" s="21" t="n">
        <x:f>'Registro de vuelos'!F108</x:f>
        <x:v>0</x:v>
      </x:c>
      <x:c r="R107" s="21" t="str">
        <x:f>IF(N107="","",IF(AND(COUNTIFS($N$3:$N$502,N107,$O$3:$O$502,O107,$P$3:$P$502,P107,$Q$3:$Q$502,"&gt;"&amp;Q107)=0,COUNTIFS($N$3:N107,N107,$O$3:O107,O107,$P$3:P107,P107,$Q$3:Q107,Q107)=1),1,0))</x:f>
      </x:c>
      <x:c r="S107" s="21" t="n">
        <x:f t="shared" si="3">IF(R107=1,Q107,0)</x:f>
        <x:v>0</x:v>
      </x:c>
      <x:c r="T107" s="15"/>
      <x:c r="U107" s="15"/>
      <x:c r="V107" s="15"/>
      <x:c r="W107" s="15"/>
      <x:c r="X107" s="15"/>
      <x:c r="Y107" s="15"/>
      <x:c r="Z107" s="14"/>
    </x:row>
    <x:row r="108" ht="14.399999618530273" customHeight="1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93" t="n">
        <x:f>'Registro de vuelos'!A109</x:f>
        <x:v>0</x:v>
      </x:c>
      <x:c r="O108" s="15" t="n">
        <x:f>'Registro de vuelos'!C109</x:f>
        <x:v>0</x:v>
      </x:c>
      <x:c r="P108" s="15" t="n">
        <x:f>'Registro de vuelos'!E109</x:f>
        <x:v>0</x:v>
      </x:c>
      <x:c r="Q108" s="21" t="n">
        <x:f>'Registro de vuelos'!F109</x:f>
        <x:v>0</x:v>
      </x:c>
      <x:c r="R108" s="21" t="str">
        <x:f>IF(N108="","",IF(AND(COUNTIFS($N$3:$N$502,N108,$O$3:$O$502,O108,$P$3:$P$502,P108,$Q$3:$Q$502,"&gt;"&amp;Q108)=0,COUNTIFS($N$3:N108,N108,$O$3:O108,O108,$P$3:P108,P108,$Q$3:Q108,Q108)=1),1,0))</x:f>
      </x:c>
      <x:c r="S108" s="21" t="n">
        <x:f t="shared" si="3">IF(R108=1,Q108,0)</x:f>
        <x:v>0</x:v>
      </x:c>
      <x:c r="T108" s="15"/>
      <x:c r="U108" s="15"/>
      <x:c r="V108" s="15"/>
      <x:c r="W108" s="15"/>
      <x:c r="X108" s="15"/>
      <x:c r="Y108" s="15"/>
      <x:c r="Z108" s="14"/>
    </x:row>
    <x:row r="109" ht="14.399999618530273" customHeight="1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93" t="n">
        <x:f>'Registro de vuelos'!A110</x:f>
        <x:v>0</x:v>
      </x:c>
      <x:c r="O109" s="15" t="n">
        <x:f>'Registro de vuelos'!C110</x:f>
        <x:v>0</x:v>
      </x:c>
      <x:c r="P109" s="15" t="n">
        <x:f>'Registro de vuelos'!E110</x:f>
        <x:v>0</x:v>
      </x:c>
      <x:c r="Q109" s="21" t="n">
        <x:f>'Registro de vuelos'!F110</x:f>
        <x:v>0</x:v>
      </x:c>
      <x:c r="R109" s="21" t="str">
        <x:f>IF(N109="","",IF(AND(COUNTIFS($N$3:$N$502,N109,$O$3:$O$502,O109,$P$3:$P$502,P109,$Q$3:$Q$502,"&gt;"&amp;Q109)=0,COUNTIFS($N$3:N109,N109,$O$3:O109,O109,$P$3:P109,P109,$Q$3:Q109,Q109)=1),1,0))</x:f>
      </x:c>
      <x:c r="S109" s="21" t="n">
        <x:f t="shared" si="3">IF(R109=1,Q109,0)</x:f>
        <x:v>0</x:v>
      </x:c>
      <x:c r="T109" s="15"/>
      <x:c r="U109" s="15"/>
      <x:c r="V109" s="15"/>
      <x:c r="W109" s="15"/>
      <x:c r="X109" s="15"/>
      <x:c r="Y109" s="15"/>
      <x:c r="Z109" s="14"/>
    </x:row>
    <x:row r="110" ht="14.399999618530273" customHeight="1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93" t="n">
        <x:f>'Registro de vuelos'!A111</x:f>
        <x:v>0</x:v>
      </x:c>
      <x:c r="O110" s="15" t="n">
        <x:f>'Registro de vuelos'!C111</x:f>
        <x:v>0</x:v>
      </x:c>
      <x:c r="P110" s="15" t="n">
        <x:f>'Registro de vuelos'!E111</x:f>
        <x:v>0</x:v>
      </x:c>
      <x:c r="Q110" s="21" t="n">
        <x:f>'Registro de vuelos'!F111</x:f>
        <x:v>0</x:v>
      </x:c>
      <x:c r="R110" s="21" t="str">
        <x:f>IF(N110="","",IF(AND(COUNTIFS($N$3:$N$502,N110,$O$3:$O$502,O110,$P$3:$P$502,P110,$Q$3:$Q$502,"&gt;"&amp;Q110)=0,COUNTIFS($N$3:N110,N110,$O$3:O110,O110,$P$3:P110,P110,$Q$3:Q110,Q110)=1),1,0))</x:f>
      </x:c>
      <x:c r="S110" s="21" t="n">
        <x:f t="shared" si="3">IF(R110=1,Q110,0)</x:f>
        <x:v>0</x:v>
      </x:c>
      <x:c r="T110" s="15"/>
      <x:c r="U110" s="15"/>
      <x:c r="V110" s="15"/>
      <x:c r="W110" s="15"/>
      <x:c r="X110" s="15"/>
      <x:c r="Y110" s="15"/>
      <x:c r="Z110" s="14"/>
    </x:row>
    <x:row r="111" ht="14.399999618530273" customHeight="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93" t="n">
        <x:f>'Registro de vuelos'!A112</x:f>
        <x:v>0</x:v>
      </x:c>
      <x:c r="O111" s="15" t="n">
        <x:f>'Registro de vuelos'!C112</x:f>
        <x:v>0</x:v>
      </x:c>
      <x:c r="P111" s="15" t="n">
        <x:f>'Registro de vuelos'!E112</x:f>
        <x:v>0</x:v>
      </x:c>
      <x:c r="Q111" s="21" t="n">
        <x:f>'Registro de vuelos'!F112</x:f>
        <x:v>0</x:v>
      </x:c>
      <x:c r="R111" s="21" t="str">
        <x:f>IF(N111="","",IF(AND(COUNTIFS($N$3:$N$502,N111,$O$3:$O$502,O111,$P$3:$P$502,P111,$Q$3:$Q$502,"&gt;"&amp;Q111)=0,COUNTIFS($N$3:N111,N111,$O$3:O111,O111,$P$3:P111,P111,$Q$3:Q111,Q111)=1),1,0))</x:f>
      </x:c>
      <x:c r="S111" s="21" t="n">
        <x:f t="shared" si="3">IF(R111=1,Q111,0)</x:f>
        <x:v>0</x:v>
      </x:c>
      <x:c r="T111" s="15"/>
      <x:c r="U111" s="15"/>
      <x:c r="V111" s="15"/>
      <x:c r="W111" s="15"/>
      <x:c r="X111" s="15"/>
      <x:c r="Y111" s="15"/>
      <x:c r="Z111" s="14"/>
    </x:row>
    <x:row r="112" ht="14.399999618530273" customHeight="1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93" t="n">
        <x:f>'Registro de vuelos'!A113</x:f>
        <x:v>0</x:v>
      </x:c>
      <x:c r="O112" s="15" t="n">
        <x:f>'Registro de vuelos'!C113</x:f>
        <x:v>0</x:v>
      </x:c>
      <x:c r="P112" s="15" t="n">
        <x:f>'Registro de vuelos'!E113</x:f>
        <x:v>0</x:v>
      </x:c>
      <x:c r="Q112" s="21" t="n">
        <x:f>'Registro de vuelos'!F113</x:f>
        <x:v>0</x:v>
      </x:c>
      <x:c r="R112" s="21" t="str">
        <x:f>IF(N112="","",IF(AND(COUNTIFS($N$3:$N$502,N112,$O$3:$O$502,O112,$P$3:$P$502,P112,$Q$3:$Q$502,"&gt;"&amp;Q112)=0,COUNTIFS($N$3:N112,N112,$O$3:O112,O112,$P$3:P112,P112,$Q$3:Q112,Q112)=1),1,0))</x:f>
      </x:c>
      <x:c r="S112" s="21" t="n">
        <x:f t="shared" si="3">IF(R112=1,Q112,0)</x:f>
        <x:v>0</x:v>
      </x:c>
      <x:c r="T112" s="15"/>
      <x:c r="U112" s="15"/>
      <x:c r="V112" s="15"/>
      <x:c r="W112" s="15"/>
      <x:c r="X112" s="15"/>
      <x:c r="Y112" s="15"/>
      <x:c r="Z112" s="14"/>
    </x:row>
    <x:row r="113" ht="14.399999618530273" customHeight="1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93" t="n">
        <x:f>'Registro de vuelos'!A114</x:f>
        <x:v>0</x:v>
      </x:c>
      <x:c r="O113" s="15" t="n">
        <x:f>'Registro de vuelos'!C114</x:f>
        <x:v>0</x:v>
      </x:c>
      <x:c r="P113" s="15" t="n">
        <x:f>'Registro de vuelos'!E114</x:f>
        <x:v>0</x:v>
      </x:c>
      <x:c r="Q113" s="21" t="n">
        <x:f>'Registro de vuelos'!F114</x:f>
        <x:v>0</x:v>
      </x:c>
      <x:c r="R113" s="21" t="str">
        <x:f>IF(N113="","",IF(AND(COUNTIFS($N$3:$N$502,N113,$O$3:$O$502,O113,$P$3:$P$502,P113,$Q$3:$Q$502,"&gt;"&amp;Q113)=0,COUNTIFS($N$3:N113,N113,$O$3:O113,O113,$P$3:P113,P113,$Q$3:Q113,Q113)=1),1,0))</x:f>
      </x:c>
      <x:c r="S113" s="21" t="n">
        <x:f t="shared" si="3">IF(R113=1,Q113,0)</x:f>
        <x:v>0</x:v>
      </x:c>
      <x:c r="T113" s="15"/>
      <x:c r="U113" s="15"/>
      <x:c r="V113" s="15"/>
      <x:c r="W113" s="15"/>
      <x:c r="X113" s="15"/>
      <x:c r="Y113" s="15"/>
      <x:c r="Z113" s="14"/>
    </x:row>
    <x:row r="114" ht="14.399999618530273" customHeight="1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93" t="n">
        <x:f>'Registro de vuelos'!A115</x:f>
        <x:v>0</x:v>
      </x:c>
      <x:c r="O114" s="15" t="n">
        <x:f>'Registro de vuelos'!C115</x:f>
        <x:v>0</x:v>
      </x:c>
      <x:c r="P114" s="15" t="n">
        <x:f>'Registro de vuelos'!E115</x:f>
        <x:v>0</x:v>
      </x:c>
      <x:c r="Q114" s="21" t="n">
        <x:f>'Registro de vuelos'!F115</x:f>
        <x:v>0</x:v>
      </x:c>
      <x:c r="R114" s="21" t="str">
        <x:f>IF(N114="","",IF(AND(COUNTIFS($N$3:$N$502,N114,$O$3:$O$502,O114,$P$3:$P$502,P114,$Q$3:$Q$502,"&gt;"&amp;Q114)=0,COUNTIFS($N$3:N114,N114,$O$3:O114,O114,$P$3:P114,P114,$Q$3:Q114,Q114)=1),1,0))</x:f>
      </x:c>
      <x:c r="S114" s="21" t="n">
        <x:f t="shared" si="3">IF(R114=1,Q114,0)</x:f>
        <x:v>0</x:v>
      </x:c>
      <x:c r="T114" s="15"/>
      <x:c r="U114" s="15"/>
      <x:c r="V114" s="15"/>
      <x:c r="W114" s="15"/>
      <x:c r="X114" s="15"/>
      <x:c r="Y114" s="15"/>
      <x:c r="Z114" s="14"/>
    </x:row>
    <x:row r="115" ht="14.399999618530273" customHeight="1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93" t="n">
        <x:f>'Registro de vuelos'!A116</x:f>
        <x:v>0</x:v>
      </x:c>
      <x:c r="O115" s="15" t="n">
        <x:f>'Registro de vuelos'!C116</x:f>
        <x:v>0</x:v>
      </x:c>
      <x:c r="P115" s="15" t="n">
        <x:f>'Registro de vuelos'!E116</x:f>
        <x:v>0</x:v>
      </x:c>
      <x:c r="Q115" s="21" t="n">
        <x:f>'Registro de vuelos'!F116</x:f>
        <x:v>0</x:v>
      </x:c>
      <x:c r="R115" s="21" t="str">
        <x:f>IF(N115="","",IF(AND(COUNTIFS($N$3:$N$502,N115,$O$3:$O$502,O115,$P$3:$P$502,P115,$Q$3:$Q$502,"&gt;"&amp;Q115)=0,COUNTIFS($N$3:N115,N115,$O$3:O115,O115,$P$3:P115,P115,$Q$3:Q115,Q115)=1),1,0))</x:f>
      </x:c>
      <x:c r="S115" s="21" t="n">
        <x:f t="shared" si="3">IF(R115=1,Q115,0)</x:f>
        <x:v>0</x:v>
      </x:c>
      <x:c r="T115" s="15"/>
      <x:c r="U115" s="15"/>
      <x:c r="V115" s="15"/>
      <x:c r="W115" s="15"/>
      <x:c r="X115" s="15"/>
      <x:c r="Y115" s="15"/>
      <x:c r="Z115" s="14"/>
    </x:row>
    <x:row r="116" ht="14.399999618530273" customHeight="1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93" t="n">
        <x:f>'Registro de vuelos'!A117</x:f>
        <x:v>0</x:v>
      </x:c>
      <x:c r="O116" s="15" t="n">
        <x:f>'Registro de vuelos'!C117</x:f>
        <x:v>0</x:v>
      </x:c>
      <x:c r="P116" s="15" t="n">
        <x:f>'Registro de vuelos'!E117</x:f>
        <x:v>0</x:v>
      </x:c>
      <x:c r="Q116" s="21" t="n">
        <x:f>'Registro de vuelos'!F117</x:f>
        <x:v>0</x:v>
      </x:c>
      <x:c r="R116" s="21" t="str">
        <x:f>IF(N116="","",IF(AND(COUNTIFS($N$3:$N$502,N116,$O$3:$O$502,O116,$P$3:$P$502,P116,$Q$3:$Q$502,"&gt;"&amp;Q116)=0,COUNTIFS($N$3:N116,N116,$O$3:O116,O116,$P$3:P116,P116,$Q$3:Q116,Q116)=1),1,0))</x:f>
      </x:c>
      <x:c r="S116" s="21" t="n">
        <x:f t="shared" si="3">IF(R116=1,Q116,0)</x:f>
        <x:v>0</x:v>
      </x:c>
      <x:c r="T116" s="15"/>
      <x:c r="U116" s="15"/>
      <x:c r="V116" s="15"/>
      <x:c r="W116" s="15"/>
      <x:c r="X116" s="15"/>
      <x:c r="Y116" s="15"/>
      <x:c r="Z116" s="14"/>
    </x:row>
    <x:row r="117" ht="14.399999618530273" customHeight="1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93" t="n">
        <x:f>'Registro de vuelos'!A118</x:f>
        <x:v>0</x:v>
      </x:c>
      <x:c r="O117" s="15" t="n">
        <x:f>'Registro de vuelos'!C118</x:f>
        <x:v>0</x:v>
      </x:c>
      <x:c r="P117" s="15" t="n">
        <x:f>'Registro de vuelos'!E118</x:f>
        <x:v>0</x:v>
      </x:c>
      <x:c r="Q117" s="21" t="n">
        <x:f>'Registro de vuelos'!F118</x:f>
        <x:v>0</x:v>
      </x:c>
      <x:c r="R117" s="21" t="str">
        <x:f>IF(N117="","",IF(AND(COUNTIFS($N$3:$N$502,N117,$O$3:$O$502,O117,$P$3:$P$502,P117,$Q$3:$Q$502,"&gt;"&amp;Q117)=0,COUNTIFS($N$3:N117,N117,$O$3:O117,O117,$P$3:P117,P117,$Q$3:Q117,Q117)=1),1,0))</x:f>
      </x:c>
      <x:c r="S117" s="21" t="n">
        <x:f t="shared" si="3">IF(R117=1,Q117,0)</x:f>
        <x:v>0</x:v>
      </x:c>
      <x:c r="T117" s="15"/>
      <x:c r="U117" s="15"/>
      <x:c r="V117" s="15"/>
      <x:c r="W117" s="15"/>
      <x:c r="X117" s="15"/>
      <x:c r="Y117" s="15"/>
      <x:c r="Z117" s="14"/>
    </x:row>
    <x:row r="118" ht="14.399999618530273" customHeight="1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93" t="n">
        <x:f>'Registro de vuelos'!A119</x:f>
        <x:v>0</x:v>
      </x:c>
      <x:c r="O118" s="15" t="n">
        <x:f>'Registro de vuelos'!C119</x:f>
        <x:v>0</x:v>
      </x:c>
      <x:c r="P118" s="15" t="n">
        <x:f>'Registro de vuelos'!E119</x:f>
        <x:v>0</x:v>
      </x:c>
      <x:c r="Q118" s="21" t="n">
        <x:f>'Registro de vuelos'!F119</x:f>
        <x:v>0</x:v>
      </x:c>
      <x:c r="R118" s="21" t="str">
        <x:f>IF(N118="","",IF(AND(COUNTIFS($N$3:$N$502,N118,$O$3:$O$502,O118,$P$3:$P$502,P118,$Q$3:$Q$502,"&gt;"&amp;Q118)=0,COUNTIFS($N$3:N118,N118,$O$3:O118,O118,$P$3:P118,P118,$Q$3:Q118,Q118)=1),1,0))</x:f>
      </x:c>
      <x:c r="S118" s="21" t="n">
        <x:f t="shared" si="3">IF(R118=1,Q118,0)</x:f>
        <x:v>0</x:v>
      </x:c>
      <x:c r="T118" s="15"/>
      <x:c r="U118" s="15"/>
      <x:c r="V118" s="15"/>
      <x:c r="W118" s="15"/>
      <x:c r="X118" s="15"/>
      <x:c r="Y118" s="15"/>
      <x:c r="Z118" s="14"/>
    </x:row>
    <x:row r="119" ht="14.399999618530273" customHeight="1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93" t="n">
        <x:f>'Registro de vuelos'!A120</x:f>
        <x:v>0</x:v>
      </x:c>
      <x:c r="O119" s="15" t="n">
        <x:f>'Registro de vuelos'!C120</x:f>
        <x:v>0</x:v>
      </x:c>
      <x:c r="P119" s="15" t="n">
        <x:f>'Registro de vuelos'!E120</x:f>
        <x:v>0</x:v>
      </x:c>
      <x:c r="Q119" s="21" t="n">
        <x:f>'Registro de vuelos'!F120</x:f>
        <x:v>0</x:v>
      </x:c>
      <x:c r="R119" s="21" t="str">
        <x:f>IF(N119="","",IF(AND(COUNTIFS($N$3:$N$502,N119,$O$3:$O$502,O119,$P$3:$P$502,P119,$Q$3:$Q$502,"&gt;"&amp;Q119)=0,COUNTIFS($N$3:N119,N119,$O$3:O119,O119,$P$3:P119,P119,$Q$3:Q119,Q119)=1),1,0))</x:f>
      </x:c>
      <x:c r="S119" s="21" t="n">
        <x:f t="shared" si="3">IF(R119=1,Q119,0)</x:f>
        <x:v>0</x:v>
      </x:c>
      <x:c r="T119" s="15"/>
      <x:c r="U119" s="15"/>
      <x:c r="V119" s="15"/>
      <x:c r="W119" s="15"/>
      <x:c r="X119" s="15"/>
      <x:c r="Y119" s="15"/>
      <x:c r="Z119" s="14"/>
    </x:row>
    <x:row r="120" ht="14.399999618530273" customHeight="1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93" t="n">
        <x:f>'Registro de vuelos'!A121</x:f>
        <x:v>0</x:v>
      </x:c>
      <x:c r="O120" s="15" t="n">
        <x:f>'Registro de vuelos'!C121</x:f>
        <x:v>0</x:v>
      </x:c>
      <x:c r="P120" s="15" t="n">
        <x:f>'Registro de vuelos'!E121</x:f>
        <x:v>0</x:v>
      </x:c>
      <x:c r="Q120" s="21" t="n">
        <x:f>'Registro de vuelos'!F121</x:f>
        <x:v>0</x:v>
      </x:c>
      <x:c r="R120" s="21" t="str">
        <x:f>IF(N120="","",IF(AND(COUNTIFS($N$3:$N$502,N120,$O$3:$O$502,O120,$P$3:$P$502,P120,$Q$3:$Q$502,"&gt;"&amp;Q120)=0,COUNTIFS($N$3:N120,N120,$O$3:O120,O120,$P$3:P120,P120,$Q$3:Q120,Q120)=1),1,0))</x:f>
      </x:c>
      <x:c r="S120" s="21" t="n">
        <x:f t="shared" si="3">IF(R120=1,Q120,0)</x:f>
        <x:v>0</x:v>
      </x:c>
      <x:c r="T120" s="15"/>
      <x:c r="U120" s="15"/>
      <x:c r="V120" s="15"/>
      <x:c r="W120" s="15"/>
      <x:c r="X120" s="15"/>
      <x:c r="Y120" s="15"/>
      <x:c r="Z120" s="14"/>
    </x:row>
    <x:row r="121" ht="14.399999618530273" customHeight="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93" t="n">
        <x:f>'Registro de vuelos'!A122</x:f>
        <x:v>0</x:v>
      </x:c>
      <x:c r="O121" s="15" t="n">
        <x:f>'Registro de vuelos'!C122</x:f>
        <x:v>0</x:v>
      </x:c>
      <x:c r="P121" s="15" t="n">
        <x:f>'Registro de vuelos'!E122</x:f>
        <x:v>0</x:v>
      </x:c>
      <x:c r="Q121" s="21" t="n">
        <x:f>'Registro de vuelos'!F122</x:f>
        <x:v>0</x:v>
      </x:c>
      <x:c r="R121" s="21" t="str">
        <x:f>IF(N121="","",IF(AND(COUNTIFS($N$3:$N$502,N121,$O$3:$O$502,O121,$P$3:$P$502,P121,$Q$3:$Q$502,"&gt;"&amp;Q121)=0,COUNTIFS($N$3:N121,N121,$O$3:O121,O121,$P$3:P121,P121,$Q$3:Q121,Q121)=1),1,0))</x:f>
      </x:c>
      <x:c r="S121" s="21" t="n">
        <x:f t="shared" si="3">IF(R121=1,Q121,0)</x:f>
        <x:v>0</x:v>
      </x:c>
      <x:c r="T121" s="15"/>
      <x:c r="U121" s="15"/>
      <x:c r="V121" s="15"/>
      <x:c r="W121" s="15"/>
      <x:c r="X121" s="15"/>
      <x:c r="Y121" s="15"/>
      <x:c r="Z121" s="14"/>
    </x:row>
    <x:row r="122" ht="14.399999618530273" customHeight="1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93" t="n">
        <x:f>'Registro de vuelos'!A123</x:f>
        <x:v>0</x:v>
      </x:c>
      <x:c r="O122" s="15" t="n">
        <x:f>'Registro de vuelos'!C123</x:f>
        <x:v>0</x:v>
      </x:c>
      <x:c r="P122" s="15" t="n">
        <x:f>'Registro de vuelos'!E123</x:f>
        <x:v>0</x:v>
      </x:c>
      <x:c r="Q122" s="21" t="n">
        <x:f>'Registro de vuelos'!F123</x:f>
        <x:v>0</x:v>
      </x:c>
      <x:c r="R122" s="21" t="str">
        <x:f>IF(N122="","",IF(AND(COUNTIFS($N$3:$N$502,N122,$O$3:$O$502,O122,$P$3:$P$502,P122,$Q$3:$Q$502,"&gt;"&amp;Q122)=0,COUNTIFS($N$3:N122,N122,$O$3:O122,O122,$P$3:P122,P122,$Q$3:Q122,Q122)=1),1,0))</x:f>
      </x:c>
      <x:c r="S122" s="21" t="n">
        <x:f t="shared" si="3">IF(R122=1,Q122,0)</x:f>
        <x:v>0</x:v>
      </x:c>
      <x:c r="T122" s="15"/>
      <x:c r="U122" s="15"/>
      <x:c r="V122" s="15"/>
      <x:c r="W122" s="15"/>
      <x:c r="X122" s="15"/>
      <x:c r="Y122" s="15"/>
      <x:c r="Z122" s="14"/>
    </x:row>
    <x:row r="123" ht="14.399999618530273" customHeight="1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93" t="n">
        <x:f>'Registro de vuelos'!A124</x:f>
        <x:v>0</x:v>
      </x:c>
      <x:c r="O123" s="15" t="n">
        <x:f>'Registro de vuelos'!C124</x:f>
        <x:v>0</x:v>
      </x:c>
      <x:c r="P123" s="15" t="n">
        <x:f>'Registro de vuelos'!E124</x:f>
        <x:v>0</x:v>
      </x:c>
      <x:c r="Q123" s="21" t="n">
        <x:f>'Registro de vuelos'!F124</x:f>
        <x:v>0</x:v>
      </x:c>
      <x:c r="R123" s="21" t="str">
        <x:f>IF(N123="","",IF(AND(COUNTIFS($N$3:$N$502,N123,$O$3:$O$502,O123,$P$3:$P$502,P123,$Q$3:$Q$502,"&gt;"&amp;Q123)=0,COUNTIFS($N$3:N123,N123,$O$3:O123,O123,$P$3:P123,P123,$Q$3:Q123,Q123)=1),1,0))</x:f>
      </x:c>
      <x:c r="S123" s="21" t="n">
        <x:f t="shared" si="3">IF(R123=1,Q123,0)</x:f>
        <x:v>0</x:v>
      </x:c>
      <x:c r="T123" s="15"/>
      <x:c r="U123" s="15"/>
      <x:c r="V123" s="15"/>
      <x:c r="W123" s="15"/>
      <x:c r="X123" s="15"/>
      <x:c r="Y123" s="15"/>
      <x:c r="Z123" s="14"/>
    </x:row>
    <x:row r="124" ht="14.399999618530273" customHeight="1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93" t="n">
        <x:f>'Registro de vuelos'!A125</x:f>
        <x:v>0</x:v>
      </x:c>
      <x:c r="O124" s="15" t="n">
        <x:f>'Registro de vuelos'!C125</x:f>
        <x:v>0</x:v>
      </x:c>
      <x:c r="P124" s="15" t="n">
        <x:f>'Registro de vuelos'!E125</x:f>
        <x:v>0</x:v>
      </x:c>
      <x:c r="Q124" s="21" t="n">
        <x:f>'Registro de vuelos'!F125</x:f>
        <x:v>0</x:v>
      </x:c>
      <x:c r="R124" s="21" t="str">
        <x:f>IF(N124="","",IF(AND(COUNTIFS($N$3:$N$502,N124,$O$3:$O$502,O124,$P$3:$P$502,P124,$Q$3:$Q$502,"&gt;"&amp;Q124)=0,COUNTIFS($N$3:N124,N124,$O$3:O124,O124,$P$3:P124,P124,$Q$3:Q124,Q124)=1),1,0))</x:f>
      </x:c>
      <x:c r="S124" s="21" t="n">
        <x:f t="shared" si="3">IF(R124=1,Q124,0)</x:f>
        <x:v>0</x:v>
      </x:c>
      <x:c r="T124" s="15"/>
      <x:c r="U124" s="15"/>
      <x:c r="V124" s="15"/>
      <x:c r="W124" s="15"/>
      <x:c r="X124" s="15"/>
      <x:c r="Y124" s="15"/>
      <x:c r="Z124" s="14"/>
    </x:row>
    <x:row r="125" ht="14.399999618530273" customHeight="1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93" t="n">
        <x:f>'Registro de vuelos'!A126</x:f>
        <x:v>0</x:v>
      </x:c>
      <x:c r="O125" s="15" t="n">
        <x:f>'Registro de vuelos'!C126</x:f>
        <x:v>0</x:v>
      </x:c>
      <x:c r="P125" s="15" t="n">
        <x:f>'Registro de vuelos'!E126</x:f>
        <x:v>0</x:v>
      </x:c>
      <x:c r="Q125" s="21" t="n">
        <x:f>'Registro de vuelos'!F126</x:f>
        <x:v>0</x:v>
      </x:c>
      <x:c r="R125" s="21" t="str">
        <x:f>IF(N125="","",IF(AND(COUNTIFS($N$3:$N$502,N125,$O$3:$O$502,O125,$P$3:$P$502,P125,$Q$3:$Q$502,"&gt;"&amp;Q125)=0,COUNTIFS($N$3:N125,N125,$O$3:O125,O125,$P$3:P125,P125,$Q$3:Q125,Q125)=1),1,0))</x:f>
      </x:c>
      <x:c r="S125" s="21" t="n">
        <x:f t="shared" si="3">IF(R125=1,Q125,0)</x:f>
        <x:v>0</x:v>
      </x:c>
      <x:c r="T125" s="15"/>
      <x:c r="U125" s="15"/>
      <x:c r="V125" s="15"/>
      <x:c r="W125" s="15"/>
      <x:c r="X125" s="15"/>
      <x:c r="Y125" s="15"/>
      <x:c r="Z125" s="14"/>
    </x:row>
    <x:row r="126" ht="14.399999618530273" customHeight="1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93" t="n">
        <x:f>'Registro de vuelos'!A127</x:f>
        <x:v>0</x:v>
      </x:c>
      <x:c r="O126" s="15" t="n">
        <x:f>'Registro de vuelos'!C127</x:f>
        <x:v>0</x:v>
      </x:c>
      <x:c r="P126" s="15" t="n">
        <x:f>'Registro de vuelos'!E127</x:f>
        <x:v>0</x:v>
      </x:c>
      <x:c r="Q126" s="21" t="n">
        <x:f>'Registro de vuelos'!F127</x:f>
        <x:v>0</x:v>
      </x:c>
      <x:c r="R126" s="21" t="str">
        <x:f>IF(N126="","",IF(AND(COUNTIFS($N$3:$N$502,N126,$O$3:$O$502,O126,$P$3:$P$502,P126,$Q$3:$Q$502,"&gt;"&amp;Q126)=0,COUNTIFS($N$3:N126,N126,$O$3:O126,O126,$P$3:P126,P126,$Q$3:Q126,Q126)=1),1,0))</x:f>
      </x:c>
      <x:c r="S126" s="21" t="n">
        <x:f t="shared" si="3">IF(R126=1,Q126,0)</x:f>
        <x:v>0</x:v>
      </x:c>
      <x:c r="T126" s="15"/>
      <x:c r="U126" s="15"/>
      <x:c r="V126" s="15"/>
      <x:c r="W126" s="15"/>
      <x:c r="X126" s="15"/>
      <x:c r="Y126" s="15"/>
      <x:c r="Z126" s="14"/>
    </x:row>
    <x:row r="127" ht="14.399999618530273" customHeight="1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93" t="n">
        <x:f>'Registro de vuelos'!A128</x:f>
        <x:v>0</x:v>
      </x:c>
      <x:c r="O127" s="15" t="n">
        <x:f>'Registro de vuelos'!C128</x:f>
        <x:v>0</x:v>
      </x:c>
      <x:c r="P127" s="15" t="n">
        <x:f>'Registro de vuelos'!E128</x:f>
        <x:v>0</x:v>
      </x:c>
      <x:c r="Q127" s="21" t="n">
        <x:f>'Registro de vuelos'!F128</x:f>
        <x:v>0</x:v>
      </x:c>
      <x:c r="R127" s="21" t="str">
        <x:f>IF(N127="","",IF(AND(COUNTIFS($N$3:$N$502,N127,$O$3:$O$502,O127,$P$3:$P$502,P127,$Q$3:$Q$502,"&gt;"&amp;Q127)=0,COUNTIFS($N$3:N127,N127,$O$3:O127,O127,$P$3:P127,P127,$Q$3:Q127,Q127)=1),1,0))</x:f>
      </x:c>
      <x:c r="S127" s="21" t="n">
        <x:f t="shared" si="3">IF(R127=1,Q127,0)</x:f>
        <x:v>0</x:v>
      </x:c>
      <x:c r="T127" s="15"/>
      <x:c r="U127" s="15"/>
      <x:c r="V127" s="15"/>
      <x:c r="W127" s="15"/>
      <x:c r="X127" s="15"/>
      <x:c r="Y127" s="15"/>
      <x:c r="Z127" s="14"/>
    </x:row>
    <x:row r="128" ht="14.399999618530273" customHeight="1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93" t="n">
        <x:f>'Registro de vuelos'!A129</x:f>
        <x:v>0</x:v>
      </x:c>
      <x:c r="O128" s="15" t="n">
        <x:f>'Registro de vuelos'!C129</x:f>
        <x:v>0</x:v>
      </x:c>
      <x:c r="P128" s="15" t="n">
        <x:f>'Registro de vuelos'!E129</x:f>
        <x:v>0</x:v>
      </x:c>
      <x:c r="Q128" s="21" t="n">
        <x:f>'Registro de vuelos'!F129</x:f>
        <x:v>0</x:v>
      </x:c>
      <x:c r="R128" s="21" t="str">
        <x:f>IF(N128="","",IF(AND(COUNTIFS($N$3:$N$502,N128,$O$3:$O$502,O128,$P$3:$P$502,P128,$Q$3:$Q$502,"&gt;"&amp;Q128)=0,COUNTIFS($N$3:N128,N128,$O$3:O128,O128,$P$3:P128,P128,$Q$3:Q128,Q128)=1),1,0))</x:f>
      </x:c>
      <x:c r="S128" s="21" t="n">
        <x:f t="shared" si="3">IF(R128=1,Q128,0)</x:f>
        <x:v>0</x:v>
      </x:c>
      <x:c r="T128" s="15"/>
      <x:c r="U128" s="15"/>
      <x:c r="V128" s="15"/>
      <x:c r="W128" s="15"/>
      <x:c r="X128" s="15"/>
      <x:c r="Y128" s="15"/>
      <x:c r="Z128" s="14"/>
    </x:row>
    <x:row r="129" ht="14.399999618530273" customHeight="1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93" t="n">
        <x:f>'Registro de vuelos'!A130</x:f>
        <x:v>0</x:v>
      </x:c>
      <x:c r="O129" s="15" t="n">
        <x:f>'Registro de vuelos'!C130</x:f>
        <x:v>0</x:v>
      </x:c>
      <x:c r="P129" s="15" t="n">
        <x:f>'Registro de vuelos'!E130</x:f>
        <x:v>0</x:v>
      </x:c>
      <x:c r="Q129" s="21" t="n">
        <x:f>'Registro de vuelos'!F130</x:f>
        <x:v>0</x:v>
      </x:c>
      <x:c r="R129" s="21" t="str">
        <x:f>IF(N129="","",IF(AND(COUNTIFS($N$3:$N$502,N129,$O$3:$O$502,O129,$P$3:$P$502,P129,$Q$3:$Q$502,"&gt;"&amp;Q129)=0,COUNTIFS($N$3:N129,N129,$O$3:O129,O129,$P$3:P129,P129,$Q$3:Q129,Q129)=1),1,0))</x:f>
      </x:c>
      <x:c r="S129" s="21" t="n">
        <x:f t="shared" si="3">IF(R129=1,Q129,0)</x:f>
        <x:v>0</x:v>
      </x:c>
      <x:c r="T129" s="15"/>
      <x:c r="U129" s="15"/>
      <x:c r="V129" s="15"/>
      <x:c r="W129" s="15"/>
      <x:c r="X129" s="15"/>
      <x:c r="Y129" s="15"/>
      <x:c r="Z129" s="14"/>
    </x:row>
    <x:row r="130" ht="14.399999618530273" customHeight="1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93" t="n">
        <x:f>'Registro de vuelos'!A131</x:f>
        <x:v>0</x:v>
      </x:c>
      <x:c r="O130" s="15" t="n">
        <x:f>'Registro de vuelos'!C131</x:f>
        <x:v>0</x:v>
      </x:c>
      <x:c r="P130" s="15" t="n">
        <x:f>'Registro de vuelos'!E131</x:f>
        <x:v>0</x:v>
      </x:c>
      <x:c r="Q130" s="21" t="n">
        <x:f>'Registro de vuelos'!F131</x:f>
        <x:v>0</x:v>
      </x:c>
      <x:c r="R130" s="21" t="str">
        <x:f>IF(N130="","",IF(AND(COUNTIFS($N$3:$N$502,N130,$O$3:$O$502,O130,$P$3:$P$502,P130,$Q$3:$Q$502,"&gt;"&amp;Q130)=0,COUNTIFS($N$3:N130,N130,$O$3:O130,O130,$P$3:P130,P130,$Q$3:Q130,Q130)=1),1,0))</x:f>
      </x:c>
      <x:c r="S130" s="21" t="n">
        <x:f t="shared" si="3">IF(R130=1,Q130,0)</x:f>
        <x:v>0</x:v>
      </x:c>
      <x:c r="T130" s="15"/>
      <x:c r="U130" s="15"/>
      <x:c r="V130" s="15"/>
      <x:c r="W130" s="15"/>
      <x:c r="X130" s="15"/>
      <x:c r="Y130" s="15"/>
      <x:c r="Z130" s="14"/>
    </x:row>
    <x:row r="131" ht="14.399999618530273" customHeight="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93" t="n">
        <x:f>'Registro de vuelos'!A132</x:f>
        <x:v>0</x:v>
      </x:c>
      <x:c r="O131" s="15" t="n">
        <x:f>'Registro de vuelos'!C132</x:f>
        <x:v>0</x:v>
      </x:c>
      <x:c r="P131" s="15" t="n">
        <x:f>'Registro de vuelos'!E132</x:f>
        <x:v>0</x:v>
      </x:c>
      <x:c r="Q131" s="21" t="n">
        <x:f>'Registro de vuelos'!F132</x:f>
        <x:v>0</x:v>
      </x:c>
      <x:c r="R131" s="21" t="str">
        <x:f>IF(N131="","",IF(AND(COUNTIFS($N$3:$N$502,N131,$O$3:$O$502,O131,$P$3:$P$502,P131,$Q$3:$Q$502,"&gt;"&amp;Q131)=0,COUNTIFS($N$3:N131,N131,$O$3:O131,O131,$P$3:P131,P131,$Q$3:Q131,Q131)=1),1,0))</x:f>
      </x:c>
      <x:c r="S131" s="21" t="n">
        <x:f t="shared" ref="S131:S194" si="4">IF(R131=1,Q131,0)</x:f>
        <x:v>0</x:v>
      </x:c>
      <x:c r="T131" s="15"/>
      <x:c r="U131" s="15"/>
      <x:c r="V131" s="15"/>
      <x:c r="W131" s="15"/>
      <x:c r="X131" s="15"/>
      <x:c r="Y131" s="15"/>
      <x:c r="Z131" s="14"/>
    </x:row>
    <x:row r="132" ht="14.399999618530273" customHeight="1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93" t="n">
        <x:f>'Registro de vuelos'!A133</x:f>
        <x:v>0</x:v>
      </x:c>
      <x:c r="O132" s="15" t="n">
        <x:f>'Registro de vuelos'!C133</x:f>
        <x:v>0</x:v>
      </x:c>
      <x:c r="P132" s="15" t="n">
        <x:f>'Registro de vuelos'!E133</x:f>
        <x:v>0</x:v>
      </x:c>
      <x:c r="Q132" s="21" t="n">
        <x:f>'Registro de vuelos'!F133</x:f>
        <x:v>0</x:v>
      </x:c>
      <x:c r="R132" s="21" t="str">
        <x:f>IF(N132="","",IF(AND(COUNTIFS($N$3:$N$502,N132,$O$3:$O$502,O132,$P$3:$P$502,P132,$Q$3:$Q$502,"&gt;"&amp;Q132)=0,COUNTIFS($N$3:N132,N132,$O$3:O132,O132,$P$3:P132,P132,$Q$3:Q132,Q132)=1),1,0))</x:f>
      </x:c>
      <x:c r="S132" s="21" t="n">
        <x:f t="shared" si="4">IF(R132=1,Q132,0)</x:f>
        <x:v>0</x:v>
      </x:c>
      <x:c r="T132" s="15"/>
      <x:c r="U132" s="15"/>
      <x:c r="V132" s="15"/>
      <x:c r="W132" s="15"/>
      <x:c r="X132" s="15"/>
      <x:c r="Y132" s="15"/>
      <x:c r="Z132" s="14"/>
    </x:row>
    <x:row r="133" ht="14.399999618530273" customHeight="1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93" t="n">
        <x:f>'Registro de vuelos'!A134</x:f>
        <x:v>0</x:v>
      </x:c>
      <x:c r="O133" s="15" t="n">
        <x:f>'Registro de vuelos'!C134</x:f>
        <x:v>0</x:v>
      </x:c>
      <x:c r="P133" s="15" t="n">
        <x:f>'Registro de vuelos'!E134</x:f>
        <x:v>0</x:v>
      </x:c>
      <x:c r="Q133" s="21" t="n">
        <x:f>'Registro de vuelos'!F134</x:f>
        <x:v>0</x:v>
      </x:c>
      <x:c r="R133" s="21" t="str">
        <x:f>IF(N133="","",IF(AND(COUNTIFS($N$3:$N$502,N133,$O$3:$O$502,O133,$P$3:$P$502,P133,$Q$3:$Q$502,"&gt;"&amp;Q133)=0,COUNTIFS($N$3:N133,N133,$O$3:O133,O133,$P$3:P133,P133,$Q$3:Q133,Q133)=1),1,0))</x:f>
      </x:c>
      <x:c r="S133" s="21" t="n">
        <x:f t="shared" si="4">IF(R133=1,Q133,0)</x:f>
        <x:v>0</x:v>
      </x:c>
      <x:c r="T133" s="15"/>
      <x:c r="U133" s="15"/>
      <x:c r="V133" s="15"/>
      <x:c r="W133" s="15"/>
      <x:c r="X133" s="15"/>
      <x:c r="Y133" s="15"/>
      <x:c r="Z133" s="14"/>
    </x:row>
    <x:row r="134" ht="14.399999618530273" customHeight="1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93" t="n">
        <x:f>'Registro de vuelos'!A135</x:f>
        <x:v>0</x:v>
      </x:c>
      <x:c r="O134" s="15" t="n">
        <x:f>'Registro de vuelos'!C135</x:f>
        <x:v>0</x:v>
      </x:c>
      <x:c r="P134" s="15" t="n">
        <x:f>'Registro de vuelos'!E135</x:f>
        <x:v>0</x:v>
      </x:c>
      <x:c r="Q134" s="21" t="n">
        <x:f>'Registro de vuelos'!F135</x:f>
        <x:v>0</x:v>
      </x:c>
      <x:c r="R134" s="21" t="str">
        <x:f>IF(N134="","",IF(AND(COUNTIFS($N$3:$N$502,N134,$O$3:$O$502,O134,$P$3:$P$502,P134,$Q$3:$Q$502,"&gt;"&amp;Q134)=0,COUNTIFS($N$3:N134,N134,$O$3:O134,O134,$P$3:P134,P134,$Q$3:Q134,Q134)=1),1,0))</x:f>
      </x:c>
      <x:c r="S134" s="21" t="n">
        <x:f t="shared" si="4">IF(R134=1,Q134,0)</x:f>
        <x:v>0</x:v>
      </x:c>
      <x:c r="T134" s="15"/>
      <x:c r="U134" s="15"/>
      <x:c r="V134" s="15"/>
      <x:c r="W134" s="15"/>
      <x:c r="X134" s="15"/>
      <x:c r="Y134" s="15"/>
      <x:c r="Z134" s="14"/>
    </x:row>
    <x:row r="135" ht="14.399999618530273" customHeight="1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93" t="n">
        <x:f>'Registro de vuelos'!A136</x:f>
        <x:v>0</x:v>
      </x:c>
      <x:c r="O135" s="15" t="n">
        <x:f>'Registro de vuelos'!C136</x:f>
        <x:v>0</x:v>
      </x:c>
      <x:c r="P135" s="15" t="n">
        <x:f>'Registro de vuelos'!E136</x:f>
        <x:v>0</x:v>
      </x:c>
      <x:c r="Q135" s="21" t="n">
        <x:f>'Registro de vuelos'!F136</x:f>
        <x:v>0</x:v>
      </x:c>
      <x:c r="R135" s="21" t="str">
        <x:f>IF(N135="","",IF(AND(COUNTIFS($N$3:$N$502,N135,$O$3:$O$502,O135,$P$3:$P$502,P135,$Q$3:$Q$502,"&gt;"&amp;Q135)=0,COUNTIFS($N$3:N135,N135,$O$3:O135,O135,$P$3:P135,P135,$Q$3:Q135,Q135)=1),1,0))</x:f>
      </x:c>
      <x:c r="S135" s="21" t="n">
        <x:f t="shared" si="4">IF(R135=1,Q135,0)</x:f>
        <x:v>0</x:v>
      </x:c>
      <x:c r="T135" s="15"/>
      <x:c r="U135" s="15"/>
      <x:c r="V135" s="15"/>
      <x:c r="W135" s="15"/>
      <x:c r="X135" s="15"/>
      <x:c r="Y135" s="15"/>
      <x:c r="Z135" s="14"/>
    </x:row>
    <x:row r="136" ht="14.399999618530273" customHeight="1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93" t="n">
        <x:f>'Registro de vuelos'!A137</x:f>
        <x:v>0</x:v>
      </x:c>
      <x:c r="O136" s="15" t="n">
        <x:f>'Registro de vuelos'!C137</x:f>
        <x:v>0</x:v>
      </x:c>
      <x:c r="P136" s="15" t="n">
        <x:f>'Registro de vuelos'!E137</x:f>
        <x:v>0</x:v>
      </x:c>
      <x:c r="Q136" s="21" t="n">
        <x:f>'Registro de vuelos'!F137</x:f>
        <x:v>0</x:v>
      </x:c>
      <x:c r="R136" s="21" t="str">
        <x:f>IF(N136="","",IF(AND(COUNTIFS($N$3:$N$502,N136,$O$3:$O$502,O136,$P$3:$P$502,P136,$Q$3:$Q$502,"&gt;"&amp;Q136)=0,COUNTIFS($N$3:N136,N136,$O$3:O136,O136,$P$3:P136,P136,$Q$3:Q136,Q136)=1),1,0))</x:f>
      </x:c>
      <x:c r="S136" s="21" t="n">
        <x:f t="shared" si="4">IF(R136=1,Q136,0)</x:f>
        <x:v>0</x:v>
      </x:c>
      <x:c r="T136" s="15"/>
      <x:c r="U136" s="15"/>
      <x:c r="V136" s="15"/>
      <x:c r="W136" s="15"/>
      <x:c r="X136" s="15"/>
      <x:c r="Y136" s="15"/>
      <x:c r="Z136" s="14"/>
    </x:row>
    <x:row r="137" ht="14.399999618530273" customHeight="1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93" t="n">
        <x:f>'Registro de vuelos'!A138</x:f>
        <x:v>0</x:v>
      </x:c>
      <x:c r="O137" s="15" t="n">
        <x:f>'Registro de vuelos'!C138</x:f>
        <x:v>0</x:v>
      </x:c>
      <x:c r="P137" s="15" t="n">
        <x:f>'Registro de vuelos'!E138</x:f>
        <x:v>0</x:v>
      </x:c>
      <x:c r="Q137" s="21" t="n">
        <x:f>'Registro de vuelos'!F138</x:f>
        <x:v>0</x:v>
      </x:c>
      <x:c r="R137" s="21" t="str">
        <x:f>IF(N137="","",IF(AND(COUNTIFS($N$3:$N$502,N137,$O$3:$O$502,O137,$P$3:$P$502,P137,$Q$3:$Q$502,"&gt;"&amp;Q137)=0,COUNTIFS($N$3:N137,N137,$O$3:O137,O137,$P$3:P137,P137,$Q$3:Q137,Q137)=1),1,0))</x:f>
      </x:c>
      <x:c r="S137" s="21" t="n">
        <x:f t="shared" si="4">IF(R137=1,Q137,0)</x:f>
        <x:v>0</x:v>
      </x:c>
      <x:c r="T137" s="15"/>
      <x:c r="U137" s="15"/>
      <x:c r="V137" s="15"/>
      <x:c r="W137" s="15"/>
      <x:c r="X137" s="15"/>
      <x:c r="Y137" s="15"/>
      <x:c r="Z137" s="14"/>
    </x:row>
    <x:row r="138" ht="14.399999618530273" customHeight="1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93" t="n">
        <x:f>'Registro de vuelos'!A139</x:f>
        <x:v>0</x:v>
      </x:c>
      <x:c r="O138" s="15" t="n">
        <x:f>'Registro de vuelos'!C139</x:f>
        <x:v>0</x:v>
      </x:c>
      <x:c r="P138" s="15" t="n">
        <x:f>'Registro de vuelos'!E139</x:f>
        <x:v>0</x:v>
      </x:c>
      <x:c r="Q138" s="21" t="n">
        <x:f>'Registro de vuelos'!F139</x:f>
        <x:v>0</x:v>
      </x:c>
      <x:c r="R138" s="21" t="str">
        <x:f>IF(N138="","",IF(AND(COUNTIFS($N$3:$N$502,N138,$O$3:$O$502,O138,$P$3:$P$502,P138,$Q$3:$Q$502,"&gt;"&amp;Q138)=0,COUNTIFS($N$3:N138,N138,$O$3:O138,O138,$P$3:P138,P138,$Q$3:Q138,Q138)=1),1,0))</x:f>
      </x:c>
      <x:c r="S138" s="21" t="n">
        <x:f t="shared" si="4">IF(R138=1,Q138,0)</x:f>
        <x:v>0</x:v>
      </x:c>
      <x:c r="T138" s="15"/>
      <x:c r="U138" s="15"/>
      <x:c r="V138" s="15"/>
      <x:c r="W138" s="15"/>
      <x:c r="X138" s="15"/>
      <x:c r="Y138" s="15"/>
      <x:c r="Z138" s="14"/>
    </x:row>
    <x:row r="139" ht="14.399999618530273" customHeight="1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93" t="n">
        <x:f>'Registro de vuelos'!A140</x:f>
        <x:v>0</x:v>
      </x:c>
      <x:c r="O139" s="15" t="n">
        <x:f>'Registro de vuelos'!C140</x:f>
        <x:v>0</x:v>
      </x:c>
      <x:c r="P139" s="15" t="n">
        <x:f>'Registro de vuelos'!E140</x:f>
        <x:v>0</x:v>
      </x:c>
      <x:c r="Q139" s="21" t="n">
        <x:f>'Registro de vuelos'!F140</x:f>
        <x:v>0</x:v>
      </x:c>
      <x:c r="R139" s="21" t="str">
        <x:f>IF(N139="","",IF(AND(COUNTIFS($N$3:$N$502,N139,$O$3:$O$502,O139,$P$3:$P$502,P139,$Q$3:$Q$502,"&gt;"&amp;Q139)=0,COUNTIFS($N$3:N139,N139,$O$3:O139,O139,$P$3:P139,P139,$Q$3:Q139,Q139)=1),1,0))</x:f>
      </x:c>
      <x:c r="S139" s="21" t="n">
        <x:f t="shared" si="4">IF(R139=1,Q139,0)</x:f>
        <x:v>0</x:v>
      </x:c>
      <x:c r="T139" s="15"/>
      <x:c r="U139" s="15"/>
      <x:c r="V139" s="15"/>
      <x:c r="W139" s="15"/>
      <x:c r="X139" s="15"/>
      <x:c r="Y139" s="15"/>
      <x:c r="Z139" s="14"/>
    </x:row>
    <x:row r="140" ht="14.399999618530273" customHeight="1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93" t="n">
        <x:f>'Registro de vuelos'!A141</x:f>
        <x:v>0</x:v>
      </x:c>
      <x:c r="O140" s="15" t="n">
        <x:f>'Registro de vuelos'!C141</x:f>
        <x:v>0</x:v>
      </x:c>
      <x:c r="P140" s="15" t="n">
        <x:f>'Registro de vuelos'!E141</x:f>
        <x:v>0</x:v>
      </x:c>
      <x:c r="Q140" s="21" t="n">
        <x:f>'Registro de vuelos'!F141</x:f>
        <x:v>0</x:v>
      </x:c>
      <x:c r="R140" s="21" t="str">
        <x:f>IF(N140="","",IF(AND(COUNTIFS($N$3:$N$502,N140,$O$3:$O$502,O140,$P$3:$P$502,P140,$Q$3:$Q$502,"&gt;"&amp;Q140)=0,COUNTIFS($N$3:N140,N140,$O$3:O140,O140,$P$3:P140,P140,$Q$3:Q140,Q140)=1),1,0))</x:f>
      </x:c>
      <x:c r="S140" s="21" t="n">
        <x:f t="shared" si="4">IF(R140=1,Q140,0)</x:f>
        <x:v>0</x:v>
      </x:c>
      <x:c r="T140" s="15"/>
      <x:c r="U140" s="15"/>
      <x:c r="V140" s="15"/>
      <x:c r="W140" s="15"/>
      <x:c r="X140" s="15"/>
      <x:c r="Y140" s="15"/>
      <x:c r="Z140" s="14"/>
    </x:row>
    <x:row r="141" ht="14.399999618530273" customHeight="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93" t="n">
        <x:f>'Registro de vuelos'!A142</x:f>
        <x:v>0</x:v>
      </x:c>
      <x:c r="O141" s="15" t="n">
        <x:f>'Registro de vuelos'!C142</x:f>
        <x:v>0</x:v>
      </x:c>
      <x:c r="P141" s="15" t="n">
        <x:f>'Registro de vuelos'!E142</x:f>
        <x:v>0</x:v>
      </x:c>
      <x:c r="Q141" s="21" t="n">
        <x:f>'Registro de vuelos'!F142</x:f>
        <x:v>0</x:v>
      </x:c>
      <x:c r="R141" s="21" t="str">
        <x:f>IF(N141="","",IF(AND(COUNTIFS($N$3:$N$502,N141,$O$3:$O$502,O141,$P$3:$P$502,P141,$Q$3:$Q$502,"&gt;"&amp;Q141)=0,COUNTIFS($N$3:N141,N141,$O$3:O141,O141,$P$3:P141,P141,$Q$3:Q141,Q141)=1),1,0))</x:f>
      </x:c>
      <x:c r="S141" s="21" t="n">
        <x:f t="shared" si="4">IF(R141=1,Q141,0)</x:f>
        <x:v>0</x:v>
      </x:c>
      <x:c r="T141" s="15"/>
      <x:c r="U141" s="15"/>
      <x:c r="V141" s="15"/>
      <x:c r="W141" s="15"/>
      <x:c r="X141" s="15"/>
      <x:c r="Y141" s="15"/>
      <x:c r="Z141" s="14"/>
    </x:row>
    <x:row r="142" ht="14.399999618530273" customHeight="1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93" t="n">
        <x:f>'Registro de vuelos'!A143</x:f>
        <x:v>0</x:v>
      </x:c>
      <x:c r="O142" s="15" t="n">
        <x:f>'Registro de vuelos'!C143</x:f>
        <x:v>0</x:v>
      </x:c>
      <x:c r="P142" s="15" t="n">
        <x:f>'Registro de vuelos'!E143</x:f>
        <x:v>0</x:v>
      </x:c>
      <x:c r="Q142" s="21" t="n">
        <x:f>'Registro de vuelos'!F143</x:f>
        <x:v>0</x:v>
      </x:c>
      <x:c r="R142" s="21" t="str">
        <x:f>IF(N142="","",IF(AND(COUNTIFS($N$3:$N$502,N142,$O$3:$O$502,O142,$P$3:$P$502,P142,$Q$3:$Q$502,"&gt;"&amp;Q142)=0,COUNTIFS($N$3:N142,N142,$O$3:O142,O142,$P$3:P142,P142,$Q$3:Q142,Q142)=1),1,0))</x:f>
      </x:c>
      <x:c r="S142" s="21" t="n">
        <x:f t="shared" si="4">IF(R142=1,Q142,0)</x:f>
        <x:v>0</x:v>
      </x:c>
      <x:c r="T142" s="15"/>
      <x:c r="U142" s="15"/>
      <x:c r="V142" s="15"/>
      <x:c r="W142" s="15"/>
      <x:c r="X142" s="15"/>
      <x:c r="Y142" s="15"/>
      <x:c r="Z142" s="14"/>
    </x:row>
    <x:row r="143" ht="14.399999618530273" customHeight="1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93" t="n">
        <x:f>'Registro de vuelos'!A144</x:f>
        <x:v>0</x:v>
      </x:c>
      <x:c r="O143" s="15" t="n">
        <x:f>'Registro de vuelos'!C144</x:f>
        <x:v>0</x:v>
      </x:c>
      <x:c r="P143" s="15" t="n">
        <x:f>'Registro de vuelos'!E144</x:f>
        <x:v>0</x:v>
      </x:c>
      <x:c r="Q143" s="21" t="n">
        <x:f>'Registro de vuelos'!F144</x:f>
        <x:v>0</x:v>
      </x:c>
      <x:c r="R143" s="21" t="str">
        <x:f>IF(N143="","",IF(AND(COUNTIFS($N$3:$N$502,N143,$O$3:$O$502,O143,$P$3:$P$502,P143,$Q$3:$Q$502,"&gt;"&amp;Q143)=0,COUNTIFS($N$3:N143,N143,$O$3:O143,O143,$P$3:P143,P143,$Q$3:Q143,Q143)=1),1,0))</x:f>
      </x:c>
      <x:c r="S143" s="21" t="n">
        <x:f t="shared" si="4">IF(R143=1,Q143,0)</x:f>
        <x:v>0</x:v>
      </x:c>
      <x:c r="T143" s="15"/>
      <x:c r="U143" s="15"/>
      <x:c r="V143" s="15"/>
      <x:c r="W143" s="15"/>
      <x:c r="X143" s="15"/>
      <x:c r="Y143" s="15"/>
      <x:c r="Z143" s="14"/>
    </x:row>
    <x:row r="144" ht="14.399999618530273" customHeight="1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93" t="n">
        <x:f>'Registro de vuelos'!A145</x:f>
        <x:v>0</x:v>
      </x:c>
      <x:c r="O144" s="15" t="n">
        <x:f>'Registro de vuelos'!C145</x:f>
        <x:v>0</x:v>
      </x:c>
      <x:c r="P144" s="15" t="n">
        <x:f>'Registro de vuelos'!E145</x:f>
        <x:v>0</x:v>
      </x:c>
      <x:c r="Q144" s="21" t="n">
        <x:f>'Registro de vuelos'!F145</x:f>
        <x:v>0</x:v>
      </x:c>
      <x:c r="R144" s="21" t="str">
        <x:f>IF(N144="","",IF(AND(COUNTIFS($N$3:$N$502,N144,$O$3:$O$502,O144,$P$3:$P$502,P144,$Q$3:$Q$502,"&gt;"&amp;Q144)=0,COUNTIFS($N$3:N144,N144,$O$3:O144,O144,$P$3:P144,P144,$Q$3:Q144,Q144)=1),1,0))</x:f>
      </x:c>
      <x:c r="S144" s="21" t="n">
        <x:f t="shared" si="4">IF(R144=1,Q144,0)</x:f>
        <x:v>0</x:v>
      </x:c>
      <x:c r="T144" s="15"/>
      <x:c r="U144" s="15"/>
      <x:c r="V144" s="15"/>
      <x:c r="W144" s="15"/>
      <x:c r="X144" s="15"/>
      <x:c r="Y144" s="15"/>
      <x:c r="Z144" s="14"/>
    </x:row>
    <x:row r="145" ht="14.399999618530273" customHeight="1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93" t="n">
        <x:f>'Registro de vuelos'!A146</x:f>
        <x:v>0</x:v>
      </x:c>
      <x:c r="O145" s="15" t="n">
        <x:f>'Registro de vuelos'!C146</x:f>
        <x:v>0</x:v>
      </x:c>
      <x:c r="P145" s="15" t="n">
        <x:f>'Registro de vuelos'!E146</x:f>
        <x:v>0</x:v>
      </x:c>
      <x:c r="Q145" s="21" t="n">
        <x:f>'Registro de vuelos'!F146</x:f>
        <x:v>0</x:v>
      </x:c>
      <x:c r="R145" s="21" t="str">
        <x:f>IF(N145="","",IF(AND(COUNTIFS($N$3:$N$502,N145,$O$3:$O$502,O145,$P$3:$P$502,P145,$Q$3:$Q$502,"&gt;"&amp;Q145)=0,COUNTIFS($N$3:N145,N145,$O$3:O145,O145,$P$3:P145,P145,$Q$3:Q145,Q145)=1),1,0))</x:f>
      </x:c>
      <x:c r="S145" s="21" t="n">
        <x:f t="shared" si="4">IF(R145=1,Q145,0)</x:f>
        <x:v>0</x:v>
      </x:c>
      <x:c r="T145" s="15"/>
      <x:c r="U145" s="15"/>
      <x:c r="V145" s="15"/>
      <x:c r="W145" s="15"/>
      <x:c r="X145" s="15"/>
      <x:c r="Y145" s="15"/>
      <x:c r="Z145" s="14"/>
    </x:row>
    <x:row r="146" ht="14.399999618530273" customHeight="1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93" t="n">
        <x:f>'Registro de vuelos'!A147</x:f>
        <x:v>0</x:v>
      </x:c>
      <x:c r="O146" s="15" t="n">
        <x:f>'Registro de vuelos'!C147</x:f>
        <x:v>0</x:v>
      </x:c>
      <x:c r="P146" s="15" t="n">
        <x:f>'Registro de vuelos'!E147</x:f>
        <x:v>0</x:v>
      </x:c>
      <x:c r="Q146" s="21" t="n">
        <x:f>'Registro de vuelos'!F147</x:f>
        <x:v>0</x:v>
      </x:c>
      <x:c r="R146" s="21" t="str">
        <x:f>IF(N146="","",IF(AND(COUNTIFS($N$3:$N$502,N146,$O$3:$O$502,O146,$P$3:$P$502,P146,$Q$3:$Q$502,"&gt;"&amp;Q146)=0,COUNTIFS($N$3:N146,N146,$O$3:O146,O146,$P$3:P146,P146,$Q$3:Q146,Q146)=1),1,0))</x:f>
      </x:c>
      <x:c r="S146" s="21" t="n">
        <x:f t="shared" si="4">IF(R146=1,Q146,0)</x:f>
        <x:v>0</x:v>
      </x:c>
      <x:c r="T146" s="15"/>
      <x:c r="U146" s="15"/>
      <x:c r="V146" s="15"/>
      <x:c r="W146" s="15"/>
      <x:c r="X146" s="15"/>
      <x:c r="Y146" s="15"/>
      <x:c r="Z146" s="14"/>
    </x:row>
    <x:row r="147" ht="14.399999618530273" customHeight="1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93" t="n">
        <x:f>'Registro de vuelos'!A148</x:f>
        <x:v>0</x:v>
      </x:c>
      <x:c r="O147" s="15" t="n">
        <x:f>'Registro de vuelos'!C148</x:f>
        <x:v>0</x:v>
      </x:c>
      <x:c r="P147" s="15" t="n">
        <x:f>'Registro de vuelos'!E148</x:f>
        <x:v>0</x:v>
      </x:c>
      <x:c r="Q147" s="21" t="n">
        <x:f>'Registro de vuelos'!F148</x:f>
        <x:v>0</x:v>
      </x:c>
      <x:c r="R147" s="21" t="str">
        <x:f>IF(N147="","",IF(AND(COUNTIFS($N$3:$N$502,N147,$O$3:$O$502,O147,$P$3:$P$502,P147,$Q$3:$Q$502,"&gt;"&amp;Q147)=0,COUNTIFS($N$3:N147,N147,$O$3:O147,O147,$P$3:P147,P147,$Q$3:Q147,Q147)=1),1,0))</x:f>
      </x:c>
      <x:c r="S147" s="21" t="n">
        <x:f t="shared" si="4">IF(R147=1,Q147,0)</x:f>
        <x:v>0</x:v>
      </x:c>
      <x:c r="T147" s="15"/>
      <x:c r="U147" s="15"/>
      <x:c r="V147" s="15"/>
      <x:c r="W147" s="15"/>
      <x:c r="X147" s="15"/>
      <x:c r="Y147" s="15"/>
      <x:c r="Z147" s="14"/>
    </x:row>
    <x:row r="148" ht="14.399999618530273" customHeight="1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93" t="n">
        <x:f>'Registro de vuelos'!A149</x:f>
        <x:v>0</x:v>
      </x:c>
      <x:c r="O148" s="15" t="n">
        <x:f>'Registro de vuelos'!C149</x:f>
        <x:v>0</x:v>
      </x:c>
      <x:c r="P148" s="15" t="n">
        <x:f>'Registro de vuelos'!E149</x:f>
        <x:v>0</x:v>
      </x:c>
      <x:c r="Q148" s="21" t="n">
        <x:f>'Registro de vuelos'!F149</x:f>
        <x:v>0</x:v>
      </x:c>
      <x:c r="R148" s="21" t="str">
        <x:f>IF(N148="","",IF(AND(COUNTIFS($N$3:$N$502,N148,$O$3:$O$502,O148,$P$3:$P$502,P148,$Q$3:$Q$502,"&gt;"&amp;Q148)=0,COUNTIFS($N$3:N148,N148,$O$3:O148,O148,$P$3:P148,P148,$Q$3:Q148,Q148)=1),1,0))</x:f>
      </x:c>
      <x:c r="S148" s="21" t="n">
        <x:f t="shared" si="4">IF(R148=1,Q148,0)</x:f>
        <x:v>0</x:v>
      </x:c>
      <x:c r="T148" s="15"/>
      <x:c r="U148" s="15"/>
      <x:c r="V148" s="15"/>
      <x:c r="W148" s="15"/>
      <x:c r="X148" s="15"/>
      <x:c r="Y148" s="15"/>
      <x:c r="Z148" s="14"/>
    </x:row>
    <x:row r="149" ht="14.399999618530273" customHeight="1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93" t="n">
        <x:f>'Registro de vuelos'!A150</x:f>
        <x:v>0</x:v>
      </x:c>
      <x:c r="O149" s="15" t="n">
        <x:f>'Registro de vuelos'!C150</x:f>
        <x:v>0</x:v>
      </x:c>
      <x:c r="P149" s="15" t="n">
        <x:f>'Registro de vuelos'!E150</x:f>
        <x:v>0</x:v>
      </x:c>
      <x:c r="Q149" s="21" t="n">
        <x:f>'Registro de vuelos'!F150</x:f>
        <x:v>0</x:v>
      </x:c>
      <x:c r="R149" s="21" t="str">
        <x:f>IF(N149="","",IF(AND(COUNTIFS($N$3:$N$502,N149,$O$3:$O$502,O149,$P$3:$P$502,P149,$Q$3:$Q$502,"&gt;"&amp;Q149)=0,COUNTIFS($N$3:N149,N149,$O$3:O149,O149,$P$3:P149,P149,$Q$3:Q149,Q149)=1),1,0))</x:f>
      </x:c>
      <x:c r="S149" s="21" t="n">
        <x:f t="shared" si="4">IF(R149=1,Q149,0)</x:f>
        <x:v>0</x:v>
      </x:c>
      <x:c r="T149" s="15"/>
      <x:c r="U149" s="15"/>
      <x:c r="V149" s="15"/>
      <x:c r="W149" s="15"/>
      <x:c r="X149" s="15"/>
      <x:c r="Y149" s="15"/>
      <x:c r="Z149" s="14"/>
    </x:row>
    <x:row r="150" ht="14.399999618530273" customHeight="1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93" t="n">
        <x:f>'Registro de vuelos'!A151</x:f>
        <x:v>0</x:v>
      </x:c>
      <x:c r="O150" s="15" t="n">
        <x:f>'Registro de vuelos'!C151</x:f>
        <x:v>0</x:v>
      </x:c>
      <x:c r="P150" s="15" t="n">
        <x:f>'Registro de vuelos'!E151</x:f>
        <x:v>0</x:v>
      </x:c>
      <x:c r="Q150" s="21" t="n">
        <x:f>'Registro de vuelos'!F151</x:f>
        <x:v>0</x:v>
      </x:c>
      <x:c r="R150" s="21" t="str">
        <x:f>IF(N150="","",IF(AND(COUNTIFS($N$3:$N$502,N150,$O$3:$O$502,O150,$P$3:$P$502,P150,$Q$3:$Q$502,"&gt;"&amp;Q150)=0,COUNTIFS($N$3:N150,N150,$O$3:O150,O150,$P$3:P150,P150,$Q$3:Q150,Q150)=1),1,0))</x:f>
      </x:c>
      <x:c r="S150" s="21" t="n">
        <x:f t="shared" si="4">IF(R150=1,Q150,0)</x:f>
        <x:v>0</x:v>
      </x:c>
      <x:c r="T150" s="15"/>
      <x:c r="U150" s="15"/>
      <x:c r="V150" s="15"/>
      <x:c r="W150" s="15"/>
      <x:c r="X150" s="15"/>
      <x:c r="Y150" s="15"/>
      <x:c r="Z150" s="14"/>
    </x:row>
    <x:row r="151" ht="14.399999618530273" customHeight="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93" t="n">
        <x:f>'Registro de vuelos'!A152</x:f>
        <x:v>0</x:v>
      </x:c>
      <x:c r="O151" s="15" t="n">
        <x:f>'Registro de vuelos'!C152</x:f>
        <x:v>0</x:v>
      </x:c>
      <x:c r="P151" s="15" t="n">
        <x:f>'Registro de vuelos'!E152</x:f>
        <x:v>0</x:v>
      </x:c>
      <x:c r="Q151" s="21" t="n">
        <x:f>'Registro de vuelos'!F152</x:f>
        <x:v>0</x:v>
      </x:c>
      <x:c r="R151" s="21" t="str">
        <x:f>IF(N151="","",IF(AND(COUNTIFS($N$3:$N$502,N151,$O$3:$O$502,O151,$P$3:$P$502,P151,$Q$3:$Q$502,"&gt;"&amp;Q151)=0,COUNTIFS($N$3:N151,N151,$O$3:O151,O151,$P$3:P151,P151,$Q$3:Q151,Q151)=1),1,0))</x:f>
      </x:c>
      <x:c r="S151" s="21" t="n">
        <x:f t="shared" si="4">IF(R151=1,Q151,0)</x:f>
        <x:v>0</x:v>
      </x:c>
      <x:c r="T151" s="15"/>
      <x:c r="U151" s="15"/>
      <x:c r="V151" s="15"/>
      <x:c r="W151" s="15"/>
      <x:c r="X151" s="15"/>
      <x:c r="Y151" s="15"/>
      <x:c r="Z151" s="14"/>
    </x:row>
    <x:row r="152" ht="14.399999618530273" customHeight="1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93" t="n">
        <x:f>'Registro de vuelos'!A153</x:f>
        <x:v>0</x:v>
      </x:c>
      <x:c r="O152" s="15" t="n">
        <x:f>'Registro de vuelos'!C153</x:f>
        <x:v>0</x:v>
      </x:c>
      <x:c r="P152" s="15" t="n">
        <x:f>'Registro de vuelos'!E153</x:f>
        <x:v>0</x:v>
      </x:c>
      <x:c r="Q152" s="21" t="n">
        <x:f>'Registro de vuelos'!F153</x:f>
        <x:v>0</x:v>
      </x:c>
      <x:c r="R152" s="21" t="str">
        <x:f>IF(N152="","",IF(AND(COUNTIFS($N$3:$N$502,N152,$O$3:$O$502,O152,$P$3:$P$502,P152,$Q$3:$Q$502,"&gt;"&amp;Q152)=0,COUNTIFS($N$3:N152,N152,$O$3:O152,O152,$P$3:P152,P152,$Q$3:Q152,Q152)=1),1,0))</x:f>
      </x:c>
      <x:c r="S152" s="21" t="n">
        <x:f t="shared" si="4">IF(R152=1,Q152,0)</x:f>
        <x:v>0</x:v>
      </x:c>
      <x:c r="T152" s="15"/>
      <x:c r="U152" s="15"/>
      <x:c r="V152" s="15"/>
      <x:c r="W152" s="15"/>
      <x:c r="X152" s="15"/>
      <x:c r="Y152" s="15"/>
      <x:c r="Z152" s="14"/>
    </x:row>
    <x:row r="153" ht="14.399999618530273" customHeight="1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93" t="n">
        <x:f>'Registro de vuelos'!A154</x:f>
        <x:v>0</x:v>
      </x:c>
      <x:c r="O153" s="15" t="n">
        <x:f>'Registro de vuelos'!C154</x:f>
        <x:v>0</x:v>
      </x:c>
      <x:c r="P153" s="15" t="n">
        <x:f>'Registro de vuelos'!E154</x:f>
        <x:v>0</x:v>
      </x:c>
      <x:c r="Q153" s="21" t="n">
        <x:f>'Registro de vuelos'!F154</x:f>
        <x:v>0</x:v>
      </x:c>
      <x:c r="R153" s="21" t="str">
        <x:f>IF(N153="","",IF(AND(COUNTIFS($N$3:$N$502,N153,$O$3:$O$502,O153,$P$3:$P$502,P153,$Q$3:$Q$502,"&gt;"&amp;Q153)=0,COUNTIFS($N$3:N153,N153,$O$3:O153,O153,$P$3:P153,P153,$Q$3:Q153,Q153)=1),1,0))</x:f>
      </x:c>
      <x:c r="S153" s="21" t="n">
        <x:f t="shared" si="4">IF(R153=1,Q153,0)</x:f>
        <x:v>0</x:v>
      </x:c>
      <x:c r="T153" s="15"/>
      <x:c r="U153" s="15"/>
      <x:c r="V153" s="15"/>
      <x:c r="W153" s="15"/>
      <x:c r="X153" s="15"/>
      <x:c r="Y153" s="15"/>
      <x:c r="Z153" s="14"/>
    </x:row>
    <x:row r="154" ht="14.399999618530273" customHeight="1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93" t="n">
        <x:f>'Registro de vuelos'!A155</x:f>
        <x:v>0</x:v>
      </x:c>
      <x:c r="O154" s="15" t="n">
        <x:f>'Registro de vuelos'!C155</x:f>
        <x:v>0</x:v>
      </x:c>
      <x:c r="P154" s="15" t="n">
        <x:f>'Registro de vuelos'!E155</x:f>
        <x:v>0</x:v>
      </x:c>
      <x:c r="Q154" s="21" t="n">
        <x:f>'Registro de vuelos'!F155</x:f>
        <x:v>0</x:v>
      </x:c>
      <x:c r="R154" s="21" t="str">
        <x:f>IF(N154="","",IF(AND(COUNTIFS($N$3:$N$502,N154,$O$3:$O$502,O154,$P$3:$P$502,P154,$Q$3:$Q$502,"&gt;"&amp;Q154)=0,COUNTIFS($N$3:N154,N154,$O$3:O154,O154,$P$3:P154,P154,$Q$3:Q154,Q154)=1),1,0))</x:f>
      </x:c>
      <x:c r="S154" s="21" t="n">
        <x:f t="shared" si="4">IF(R154=1,Q154,0)</x:f>
        <x:v>0</x:v>
      </x:c>
      <x:c r="T154" s="15"/>
      <x:c r="U154" s="15"/>
      <x:c r="V154" s="15"/>
      <x:c r="W154" s="15"/>
      <x:c r="X154" s="15"/>
      <x:c r="Y154" s="15"/>
      <x:c r="Z154" s="14"/>
    </x:row>
    <x:row r="155" ht="14.399999618530273" customHeight="1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93" t="n">
        <x:f>'Registro de vuelos'!A156</x:f>
        <x:v>0</x:v>
      </x:c>
      <x:c r="O155" s="15" t="n">
        <x:f>'Registro de vuelos'!C156</x:f>
        <x:v>0</x:v>
      </x:c>
      <x:c r="P155" s="15" t="n">
        <x:f>'Registro de vuelos'!E156</x:f>
        <x:v>0</x:v>
      </x:c>
      <x:c r="Q155" s="21" t="n">
        <x:f>'Registro de vuelos'!F156</x:f>
        <x:v>0</x:v>
      </x:c>
      <x:c r="R155" s="21" t="str">
        <x:f>IF(N155="","",IF(AND(COUNTIFS($N$3:$N$502,N155,$O$3:$O$502,O155,$P$3:$P$502,P155,$Q$3:$Q$502,"&gt;"&amp;Q155)=0,COUNTIFS($N$3:N155,N155,$O$3:O155,O155,$P$3:P155,P155,$Q$3:Q155,Q155)=1),1,0))</x:f>
      </x:c>
      <x:c r="S155" s="21" t="n">
        <x:f t="shared" si="4">IF(R155=1,Q155,0)</x:f>
        <x:v>0</x:v>
      </x:c>
      <x:c r="T155" s="15"/>
      <x:c r="U155" s="15"/>
      <x:c r="V155" s="15"/>
      <x:c r="W155" s="15"/>
      <x:c r="X155" s="15"/>
      <x:c r="Y155" s="15"/>
      <x:c r="Z155" s="14"/>
    </x:row>
    <x:row r="156" ht="14.399999618530273" customHeight="1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93" t="n">
        <x:f>'Registro de vuelos'!A157</x:f>
        <x:v>0</x:v>
      </x:c>
      <x:c r="O156" s="15" t="n">
        <x:f>'Registro de vuelos'!C157</x:f>
        <x:v>0</x:v>
      </x:c>
      <x:c r="P156" s="15" t="n">
        <x:f>'Registro de vuelos'!E157</x:f>
        <x:v>0</x:v>
      </x:c>
      <x:c r="Q156" s="21" t="n">
        <x:f>'Registro de vuelos'!F157</x:f>
        <x:v>0</x:v>
      </x:c>
      <x:c r="R156" s="21" t="str">
        <x:f>IF(N156="","",IF(AND(COUNTIFS($N$3:$N$502,N156,$O$3:$O$502,O156,$P$3:$P$502,P156,$Q$3:$Q$502,"&gt;"&amp;Q156)=0,COUNTIFS($N$3:N156,N156,$O$3:O156,O156,$P$3:P156,P156,$Q$3:Q156,Q156)=1),1,0))</x:f>
      </x:c>
      <x:c r="S156" s="21" t="n">
        <x:f t="shared" si="4">IF(R156=1,Q156,0)</x:f>
        <x:v>0</x:v>
      </x:c>
      <x:c r="T156" s="15"/>
      <x:c r="U156" s="15"/>
      <x:c r="V156" s="15"/>
      <x:c r="W156" s="15"/>
      <x:c r="X156" s="15"/>
      <x:c r="Y156" s="15"/>
      <x:c r="Z156" s="14"/>
    </x:row>
    <x:row r="157" ht="14.399999618530273" customHeight="1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93" t="n">
        <x:f>'Registro de vuelos'!A158</x:f>
        <x:v>0</x:v>
      </x:c>
      <x:c r="O157" s="15" t="n">
        <x:f>'Registro de vuelos'!C158</x:f>
        <x:v>0</x:v>
      </x:c>
      <x:c r="P157" s="15" t="n">
        <x:f>'Registro de vuelos'!E158</x:f>
        <x:v>0</x:v>
      </x:c>
      <x:c r="Q157" s="21" t="n">
        <x:f>'Registro de vuelos'!F158</x:f>
        <x:v>0</x:v>
      </x:c>
      <x:c r="R157" s="21" t="str">
        <x:f>IF(N157="","",IF(AND(COUNTIFS($N$3:$N$502,N157,$O$3:$O$502,O157,$P$3:$P$502,P157,$Q$3:$Q$502,"&gt;"&amp;Q157)=0,COUNTIFS($N$3:N157,N157,$O$3:O157,O157,$P$3:P157,P157,$Q$3:Q157,Q157)=1),1,0))</x:f>
      </x:c>
      <x:c r="S157" s="21" t="n">
        <x:f t="shared" si="4">IF(R157=1,Q157,0)</x:f>
        <x:v>0</x:v>
      </x:c>
      <x:c r="T157" s="15"/>
      <x:c r="U157" s="15"/>
      <x:c r="V157" s="15"/>
      <x:c r="W157" s="15"/>
      <x:c r="X157" s="15"/>
      <x:c r="Y157" s="15"/>
      <x:c r="Z157" s="14"/>
    </x:row>
    <x:row r="158" ht="14.399999618530273" customHeight="1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93" t="n">
        <x:f>'Registro de vuelos'!A159</x:f>
        <x:v>0</x:v>
      </x:c>
      <x:c r="O158" s="15" t="n">
        <x:f>'Registro de vuelos'!C159</x:f>
        <x:v>0</x:v>
      </x:c>
      <x:c r="P158" s="15" t="n">
        <x:f>'Registro de vuelos'!E159</x:f>
        <x:v>0</x:v>
      </x:c>
      <x:c r="Q158" s="21" t="n">
        <x:f>'Registro de vuelos'!F159</x:f>
        <x:v>0</x:v>
      </x:c>
      <x:c r="R158" s="21" t="str">
        <x:f>IF(N158="","",IF(AND(COUNTIFS($N$3:$N$502,N158,$O$3:$O$502,O158,$P$3:$P$502,P158,$Q$3:$Q$502,"&gt;"&amp;Q158)=0,COUNTIFS($N$3:N158,N158,$O$3:O158,O158,$P$3:P158,P158,$Q$3:Q158,Q158)=1),1,0))</x:f>
      </x:c>
      <x:c r="S158" s="21" t="n">
        <x:f t="shared" si="4">IF(R158=1,Q158,0)</x:f>
        <x:v>0</x:v>
      </x:c>
      <x:c r="T158" s="15"/>
      <x:c r="U158" s="15"/>
      <x:c r="V158" s="15"/>
      <x:c r="W158" s="15"/>
      <x:c r="X158" s="15"/>
      <x:c r="Y158" s="15"/>
      <x:c r="Z158" s="14"/>
    </x:row>
    <x:row r="159" ht="14.399999618530273" customHeight="1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93" t="n">
        <x:f>'Registro de vuelos'!A160</x:f>
        <x:v>0</x:v>
      </x:c>
      <x:c r="O159" s="15" t="n">
        <x:f>'Registro de vuelos'!C160</x:f>
        <x:v>0</x:v>
      </x:c>
      <x:c r="P159" s="15" t="n">
        <x:f>'Registro de vuelos'!E160</x:f>
        <x:v>0</x:v>
      </x:c>
      <x:c r="Q159" s="21" t="n">
        <x:f>'Registro de vuelos'!F160</x:f>
        <x:v>0</x:v>
      </x:c>
      <x:c r="R159" s="21" t="str">
        <x:f>IF(N159="","",IF(AND(COUNTIFS($N$3:$N$502,N159,$O$3:$O$502,O159,$P$3:$P$502,P159,$Q$3:$Q$502,"&gt;"&amp;Q159)=0,COUNTIFS($N$3:N159,N159,$O$3:O159,O159,$P$3:P159,P159,$Q$3:Q159,Q159)=1),1,0))</x:f>
      </x:c>
      <x:c r="S159" s="21" t="n">
        <x:f t="shared" si="4">IF(R159=1,Q159,0)</x:f>
        <x:v>0</x:v>
      </x:c>
      <x:c r="T159" s="15"/>
      <x:c r="U159" s="15"/>
      <x:c r="V159" s="15"/>
      <x:c r="W159" s="15"/>
      <x:c r="X159" s="15"/>
      <x:c r="Y159" s="15"/>
      <x:c r="Z159" s="14"/>
    </x:row>
    <x:row r="160" ht="14.399999618530273" customHeight="1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93" t="n">
        <x:f>'Registro de vuelos'!A161</x:f>
        <x:v>0</x:v>
      </x:c>
      <x:c r="O160" s="15" t="n">
        <x:f>'Registro de vuelos'!C161</x:f>
        <x:v>0</x:v>
      </x:c>
      <x:c r="P160" s="15" t="n">
        <x:f>'Registro de vuelos'!E161</x:f>
        <x:v>0</x:v>
      </x:c>
      <x:c r="Q160" s="21" t="n">
        <x:f>'Registro de vuelos'!F161</x:f>
        <x:v>0</x:v>
      </x:c>
      <x:c r="R160" s="21" t="str">
        <x:f>IF(N160="","",IF(AND(COUNTIFS($N$3:$N$502,N160,$O$3:$O$502,O160,$P$3:$P$502,P160,$Q$3:$Q$502,"&gt;"&amp;Q160)=0,COUNTIFS($N$3:N160,N160,$O$3:O160,O160,$P$3:P160,P160,$Q$3:Q160,Q160)=1),1,0))</x:f>
      </x:c>
      <x:c r="S160" s="21" t="n">
        <x:f t="shared" si="4">IF(R160=1,Q160,0)</x:f>
        <x:v>0</x:v>
      </x:c>
      <x:c r="T160" s="15"/>
      <x:c r="U160" s="15"/>
      <x:c r="V160" s="15"/>
      <x:c r="W160" s="15"/>
      <x:c r="X160" s="15"/>
      <x:c r="Y160" s="15"/>
      <x:c r="Z160" s="14"/>
    </x:row>
    <x:row r="161" ht="14.399999618530273" customHeight="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93" t="n">
        <x:f>'Registro de vuelos'!A162</x:f>
        <x:v>0</x:v>
      </x:c>
      <x:c r="O161" s="15" t="n">
        <x:f>'Registro de vuelos'!C162</x:f>
        <x:v>0</x:v>
      </x:c>
      <x:c r="P161" s="15" t="n">
        <x:f>'Registro de vuelos'!E162</x:f>
        <x:v>0</x:v>
      </x:c>
      <x:c r="Q161" s="21" t="n">
        <x:f>'Registro de vuelos'!F162</x:f>
        <x:v>0</x:v>
      </x:c>
      <x:c r="R161" s="21" t="str">
        <x:f>IF(N161="","",IF(AND(COUNTIFS($N$3:$N$502,N161,$O$3:$O$502,O161,$P$3:$P$502,P161,$Q$3:$Q$502,"&gt;"&amp;Q161)=0,COUNTIFS($N$3:N161,N161,$O$3:O161,O161,$P$3:P161,P161,$Q$3:Q161,Q161)=1),1,0))</x:f>
      </x:c>
      <x:c r="S161" s="21" t="n">
        <x:f t="shared" si="4">IF(R161=1,Q161,0)</x:f>
        <x:v>0</x:v>
      </x:c>
      <x:c r="T161" s="15"/>
      <x:c r="U161" s="15"/>
      <x:c r="V161" s="15"/>
      <x:c r="W161" s="15"/>
      <x:c r="X161" s="15"/>
      <x:c r="Y161" s="15"/>
      <x:c r="Z161" s="14"/>
    </x:row>
    <x:row r="162" ht="14.399999618530273" customHeight="1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93" t="n">
        <x:f>'Registro de vuelos'!A163</x:f>
        <x:v>0</x:v>
      </x:c>
      <x:c r="O162" s="15" t="n">
        <x:f>'Registro de vuelos'!C163</x:f>
        <x:v>0</x:v>
      </x:c>
      <x:c r="P162" s="15" t="n">
        <x:f>'Registro de vuelos'!E163</x:f>
        <x:v>0</x:v>
      </x:c>
      <x:c r="Q162" s="21" t="n">
        <x:f>'Registro de vuelos'!F163</x:f>
        <x:v>0</x:v>
      </x:c>
      <x:c r="R162" s="21" t="str">
        <x:f>IF(N162="","",IF(AND(COUNTIFS($N$3:$N$502,N162,$O$3:$O$502,O162,$P$3:$P$502,P162,$Q$3:$Q$502,"&gt;"&amp;Q162)=0,COUNTIFS($N$3:N162,N162,$O$3:O162,O162,$P$3:P162,P162,$Q$3:Q162,Q162)=1),1,0))</x:f>
      </x:c>
      <x:c r="S162" s="21" t="n">
        <x:f t="shared" si="4">IF(R162=1,Q162,0)</x:f>
        <x:v>0</x:v>
      </x:c>
      <x:c r="T162" s="15"/>
      <x:c r="U162" s="15"/>
      <x:c r="V162" s="15"/>
      <x:c r="W162" s="15"/>
      <x:c r="X162" s="15"/>
      <x:c r="Y162" s="15"/>
      <x:c r="Z162" s="14"/>
    </x:row>
    <x:row r="163" ht="14.399999618530273" customHeight="1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93" t="n">
        <x:f>'Registro de vuelos'!A164</x:f>
        <x:v>0</x:v>
      </x:c>
      <x:c r="O163" s="15" t="n">
        <x:f>'Registro de vuelos'!C164</x:f>
        <x:v>0</x:v>
      </x:c>
      <x:c r="P163" s="15" t="n">
        <x:f>'Registro de vuelos'!E164</x:f>
        <x:v>0</x:v>
      </x:c>
      <x:c r="Q163" s="21" t="n">
        <x:f>'Registro de vuelos'!F164</x:f>
        <x:v>0</x:v>
      </x:c>
      <x:c r="R163" s="21" t="str">
        <x:f>IF(N163="","",IF(AND(COUNTIFS($N$3:$N$502,N163,$O$3:$O$502,O163,$P$3:$P$502,P163,$Q$3:$Q$502,"&gt;"&amp;Q163)=0,COUNTIFS($N$3:N163,N163,$O$3:O163,O163,$P$3:P163,P163,$Q$3:Q163,Q163)=1),1,0))</x:f>
      </x:c>
      <x:c r="S163" s="21" t="n">
        <x:f t="shared" si="4">IF(R163=1,Q163,0)</x:f>
        <x:v>0</x:v>
      </x:c>
      <x:c r="T163" s="15"/>
      <x:c r="U163" s="15"/>
      <x:c r="V163" s="15"/>
      <x:c r="W163" s="15"/>
      <x:c r="X163" s="15"/>
      <x:c r="Y163" s="15"/>
      <x:c r="Z163" s="14"/>
    </x:row>
    <x:row r="164" ht="14.399999618530273" customHeight="1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93" t="n">
        <x:f>'Registro de vuelos'!A165</x:f>
        <x:v>0</x:v>
      </x:c>
      <x:c r="O164" s="15" t="n">
        <x:f>'Registro de vuelos'!C165</x:f>
        <x:v>0</x:v>
      </x:c>
      <x:c r="P164" s="15" t="n">
        <x:f>'Registro de vuelos'!E165</x:f>
        <x:v>0</x:v>
      </x:c>
      <x:c r="Q164" s="21" t="n">
        <x:f>'Registro de vuelos'!F165</x:f>
        <x:v>0</x:v>
      </x:c>
      <x:c r="R164" s="21" t="str">
        <x:f>IF(N164="","",IF(AND(COUNTIFS($N$3:$N$502,N164,$O$3:$O$502,O164,$P$3:$P$502,P164,$Q$3:$Q$502,"&gt;"&amp;Q164)=0,COUNTIFS($N$3:N164,N164,$O$3:O164,O164,$P$3:P164,P164,$Q$3:Q164,Q164)=1),1,0))</x:f>
      </x:c>
      <x:c r="S164" s="21" t="n">
        <x:f t="shared" si="4">IF(R164=1,Q164,0)</x:f>
        <x:v>0</x:v>
      </x:c>
      <x:c r="T164" s="15"/>
      <x:c r="U164" s="15"/>
      <x:c r="V164" s="15"/>
      <x:c r="W164" s="15"/>
      <x:c r="X164" s="15"/>
      <x:c r="Y164" s="15"/>
      <x:c r="Z164" s="14"/>
    </x:row>
    <x:row r="165" ht="14.399999618530273" customHeight="1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93" t="n">
        <x:f>'Registro de vuelos'!A166</x:f>
        <x:v>0</x:v>
      </x:c>
      <x:c r="O165" s="15" t="n">
        <x:f>'Registro de vuelos'!C166</x:f>
        <x:v>0</x:v>
      </x:c>
      <x:c r="P165" s="15" t="n">
        <x:f>'Registro de vuelos'!E166</x:f>
        <x:v>0</x:v>
      </x:c>
      <x:c r="Q165" s="21" t="n">
        <x:f>'Registro de vuelos'!F166</x:f>
        <x:v>0</x:v>
      </x:c>
      <x:c r="R165" s="21" t="str">
        <x:f>IF(N165="","",IF(AND(COUNTIFS($N$3:$N$502,N165,$O$3:$O$502,O165,$P$3:$P$502,P165,$Q$3:$Q$502,"&gt;"&amp;Q165)=0,COUNTIFS($N$3:N165,N165,$O$3:O165,O165,$P$3:P165,P165,$Q$3:Q165,Q165)=1),1,0))</x:f>
      </x:c>
      <x:c r="S165" s="21" t="n">
        <x:f t="shared" si="4">IF(R165=1,Q165,0)</x:f>
        <x:v>0</x:v>
      </x:c>
      <x:c r="T165" s="15"/>
      <x:c r="U165" s="15"/>
      <x:c r="V165" s="15"/>
      <x:c r="W165" s="15"/>
      <x:c r="X165" s="15"/>
      <x:c r="Y165" s="15"/>
      <x:c r="Z165" s="14"/>
    </x:row>
    <x:row r="166" ht="14.399999618530273" customHeight="1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93" t="n">
        <x:f>'Registro de vuelos'!A167</x:f>
        <x:v>0</x:v>
      </x:c>
      <x:c r="O166" s="15" t="n">
        <x:f>'Registro de vuelos'!C167</x:f>
        <x:v>0</x:v>
      </x:c>
      <x:c r="P166" s="15" t="n">
        <x:f>'Registro de vuelos'!E167</x:f>
        <x:v>0</x:v>
      </x:c>
      <x:c r="Q166" s="21" t="n">
        <x:f>'Registro de vuelos'!F167</x:f>
        <x:v>0</x:v>
      </x:c>
      <x:c r="R166" s="21" t="str">
        <x:f>IF(N166="","",IF(AND(COUNTIFS($N$3:$N$502,N166,$O$3:$O$502,O166,$P$3:$P$502,P166,$Q$3:$Q$502,"&gt;"&amp;Q166)=0,COUNTIFS($N$3:N166,N166,$O$3:O166,O166,$P$3:P166,P166,$Q$3:Q166,Q166)=1),1,0))</x:f>
      </x:c>
      <x:c r="S166" s="21" t="n">
        <x:f t="shared" si="4">IF(R166=1,Q166,0)</x:f>
        <x:v>0</x:v>
      </x:c>
      <x:c r="T166" s="15"/>
      <x:c r="U166" s="15"/>
      <x:c r="V166" s="15"/>
      <x:c r="W166" s="15"/>
      <x:c r="X166" s="15"/>
      <x:c r="Y166" s="15"/>
      <x:c r="Z166" s="14"/>
    </x:row>
    <x:row r="167" ht="14.399999618530273" customHeight="1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93" t="n">
        <x:f>'Registro de vuelos'!A168</x:f>
        <x:v>0</x:v>
      </x:c>
      <x:c r="O167" s="15" t="n">
        <x:f>'Registro de vuelos'!C168</x:f>
        <x:v>0</x:v>
      </x:c>
      <x:c r="P167" s="15" t="n">
        <x:f>'Registro de vuelos'!E168</x:f>
        <x:v>0</x:v>
      </x:c>
      <x:c r="Q167" s="21" t="n">
        <x:f>'Registro de vuelos'!F168</x:f>
        <x:v>0</x:v>
      </x:c>
      <x:c r="R167" s="21" t="str">
        <x:f>IF(N167="","",IF(AND(COUNTIFS($N$3:$N$502,N167,$O$3:$O$502,O167,$P$3:$P$502,P167,$Q$3:$Q$502,"&gt;"&amp;Q167)=0,COUNTIFS($N$3:N167,N167,$O$3:O167,O167,$P$3:P167,P167,$Q$3:Q167,Q167)=1),1,0))</x:f>
      </x:c>
      <x:c r="S167" s="21" t="n">
        <x:f t="shared" si="4">IF(R167=1,Q167,0)</x:f>
        <x:v>0</x:v>
      </x:c>
      <x:c r="T167" s="15"/>
      <x:c r="U167" s="15"/>
      <x:c r="V167" s="15"/>
      <x:c r="W167" s="15"/>
      <x:c r="X167" s="15"/>
      <x:c r="Y167" s="15"/>
      <x:c r="Z167" s="14"/>
    </x:row>
    <x:row r="168" ht="14.399999618530273" customHeight="1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93" t="n">
        <x:f>'Registro de vuelos'!A169</x:f>
        <x:v>0</x:v>
      </x:c>
      <x:c r="O168" s="15" t="n">
        <x:f>'Registro de vuelos'!C169</x:f>
        <x:v>0</x:v>
      </x:c>
      <x:c r="P168" s="15" t="n">
        <x:f>'Registro de vuelos'!E169</x:f>
        <x:v>0</x:v>
      </x:c>
      <x:c r="Q168" s="21" t="n">
        <x:f>'Registro de vuelos'!F169</x:f>
        <x:v>0</x:v>
      </x:c>
      <x:c r="R168" s="21" t="str">
        <x:f>IF(N168="","",IF(AND(COUNTIFS($N$3:$N$502,N168,$O$3:$O$502,O168,$P$3:$P$502,P168,$Q$3:$Q$502,"&gt;"&amp;Q168)=0,COUNTIFS($N$3:N168,N168,$O$3:O168,O168,$P$3:P168,P168,$Q$3:Q168,Q168)=1),1,0))</x:f>
      </x:c>
      <x:c r="S168" s="21" t="n">
        <x:f t="shared" si="4">IF(R168=1,Q168,0)</x:f>
        <x:v>0</x:v>
      </x:c>
      <x:c r="T168" s="15"/>
      <x:c r="U168" s="15"/>
      <x:c r="V168" s="15"/>
      <x:c r="W168" s="15"/>
      <x:c r="X168" s="15"/>
      <x:c r="Y168" s="15"/>
      <x:c r="Z168" s="14"/>
    </x:row>
    <x:row r="169" ht="14.399999618530273" customHeight="1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93" t="n">
        <x:f>'Registro de vuelos'!A170</x:f>
        <x:v>0</x:v>
      </x:c>
      <x:c r="O169" s="15" t="n">
        <x:f>'Registro de vuelos'!C170</x:f>
        <x:v>0</x:v>
      </x:c>
      <x:c r="P169" s="15" t="n">
        <x:f>'Registro de vuelos'!E170</x:f>
        <x:v>0</x:v>
      </x:c>
      <x:c r="Q169" s="21" t="n">
        <x:f>'Registro de vuelos'!F170</x:f>
        <x:v>0</x:v>
      </x:c>
      <x:c r="R169" s="21" t="str">
        <x:f>IF(N169="","",IF(AND(COUNTIFS($N$3:$N$502,N169,$O$3:$O$502,O169,$P$3:$P$502,P169,$Q$3:$Q$502,"&gt;"&amp;Q169)=0,COUNTIFS($N$3:N169,N169,$O$3:O169,O169,$P$3:P169,P169,$Q$3:Q169,Q169)=1),1,0))</x:f>
      </x:c>
      <x:c r="S169" s="21" t="n">
        <x:f t="shared" si="4">IF(R169=1,Q169,0)</x:f>
        <x:v>0</x:v>
      </x:c>
      <x:c r="T169" s="15"/>
      <x:c r="U169" s="15"/>
      <x:c r="V169" s="15"/>
      <x:c r="W169" s="15"/>
      <x:c r="X169" s="15"/>
      <x:c r="Y169" s="15"/>
      <x:c r="Z169" s="14"/>
    </x:row>
    <x:row r="170" ht="14.399999618530273" customHeight="1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93" t="n">
        <x:f>'Registro de vuelos'!A171</x:f>
        <x:v>0</x:v>
      </x:c>
      <x:c r="O170" s="15" t="n">
        <x:f>'Registro de vuelos'!C171</x:f>
        <x:v>0</x:v>
      </x:c>
      <x:c r="P170" s="15" t="n">
        <x:f>'Registro de vuelos'!E171</x:f>
        <x:v>0</x:v>
      </x:c>
      <x:c r="Q170" s="21" t="n">
        <x:f>'Registro de vuelos'!F171</x:f>
        <x:v>0</x:v>
      </x:c>
      <x:c r="R170" s="21" t="str">
        <x:f>IF(N170="","",IF(AND(COUNTIFS($N$3:$N$502,N170,$O$3:$O$502,O170,$P$3:$P$502,P170,$Q$3:$Q$502,"&gt;"&amp;Q170)=0,COUNTIFS($N$3:N170,N170,$O$3:O170,O170,$P$3:P170,P170,$Q$3:Q170,Q170)=1),1,0))</x:f>
      </x:c>
      <x:c r="S170" s="21" t="n">
        <x:f t="shared" si="4">IF(R170=1,Q170,0)</x:f>
        <x:v>0</x:v>
      </x:c>
      <x:c r="T170" s="15"/>
      <x:c r="U170" s="15"/>
      <x:c r="V170" s="15"/>
      <x:c r="W170" s="15"/>
      <x:c r="X170" s="15"/>
      <x:c r="Y170" s="15"/>
      <x:c r="Z170" s="14"/>
    </x:row>
    <x:row r="171" ht="14.399999618530273" customHeight="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93" t="n">
        <x:f>'Registro de vuelos'!A172</x:f>
        <x:v>0</x:v>
      </x:c>
      <x:c r="O171" s="15" t="n">
        <x:f>'Registro de vuelos'!C172</x:f>
        <x:v>0</x:v>
      </x:c>
      <x:c r="P171" s="15" t="n">
        <x:f>'Registro de vuelos'!E172</x:f>
        <x:v>0</x:v>
      </x:c>
      <x:c r="Q171" s="21" t="n">
        <x:f>'Registro de vuelos'!F172</x:f>
        <x:v>0</x:v>
      </x:c>
      <x:c r="R171" s="21" t="str">
        <x:f>IF(N171="","",IF(AND(COUNTIFS($N$3:$N$502,N171,$O$3:$O$502,O171,$P$3:$P$502,P171,$Q$3:$Q$502,"&gt;"&amp;Q171)=0,COUNTIFS($N$3:N171,N171,$O$3:O171,O171,$P$3:P171,P171,$Q$3:Q171,Q171)=1),1,0))</x:f>
      </x:c>
      <x:c r="S171" s="21" t="n">
        <x:f t="shared" si="4">IF(R171=1,Q171,0)</x:f>
        <x:v>0</x:v>
      </x:c>
      <x:c r="T171" s="15"/>
      <x:c r="U171" s="15"/>
      <x:c r="V171" s="15"/>
      <x:c r="W171" s="15"/>
      <x:c r="X171" s="15"/>
      <x:c r="Y171" s="15"/>
      <x:c r="Z171" s="14"/>
    </x:row>
    <x:row r="172" ht="14.399999618530273" customHeight="1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93" t="n">
        <x:f>'Registro de vuelos'!A173</x:f>
        <x:v>0</x:v>
      </x:c>
      <x:c r="O172" s="15" t="n">
        <x:f>'Registro de vuelos'!C173</x:f>
        <x:v>0</x:v>
      </x:c>
      <x:c r="P172" s="15" t="n">
        <x:f>'Registro de vuelos'!E173</x:f>
        <x:v>0</x:v>
      </x:c>
      <x:c r="Q172" s="21" t="n">
        <x:f>'Registro de vuelos'!F173</x:f>
        <x:v>0</x:v>
      </x:c>
      <x:c r="R172" s="21" t="str">
        <x:f>IF(N172="","",IF(AND(COUNTIFS($N$3:$N$502,N172,$O$3:$O$502,O172,$P$3:$P$502,P172,$Q$3:$Q$502,"&gt;"&amp;Q172)=0,COUNTIFS($N$3:N172,N172,$O$3:O172,O172,$P$3:P172,P172,$Q$3:Q172,Q172)=1),1,0))</x:f>
      </x:c>
      <x:c r="S172" s="21" t="n">
        <x:f t="shared" si="4">IF(R172=1,Q172,0)</x:f>
        <x:v>0</x:v>
      </x:c>
      <x:c r="T172" s="15"/>
      <x:c r="U172" s="15"/>
      <x:c r="V172" s="15"/>
      <x:c r="W172" s="15"/>
      <x:c r="X172" s="15"/>
      <x:c r="Y172" s="15"/>
      <x:c r="Z172" s="14"/>
    </x:row>
    <x:row r="173" ht="14.399999618530273" customHeight="1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93" t="n">
        <x:f>'Registro de vuelos'!A174</x:f>
        <x:v>0</x:v>
      </x:c>
      <x:c r="O173" s="15" t="n">
        <x:f>'Registro de vuelos'!C174</x:f>
        <x:v>0</x:v>
      </x:c>
      <x:c r="P173" s="15" t="n">
        <x:f>'Registro de vuelos'!E174</x:f>
        <x:v>0</x:v>
      </x:c>
      <x:c r="Q173" s="21" t="n">
        <x:f>'Registro de vuelos'!F174</x:f>
        <x:v>0</x:v>
      </x:c>
      <x:c r="R173" s="21" t="str">
        <x:f>IF(N173="","",IF(AND(COUNTIFS($N$3:$N$502,N173,$O$3:$O$502,O173,$P$3:$P$502,P173,$Q$3:$Q$502,"&gt;"&amp;Q173)=0,COUNTIFS($N$3:N173,N173,$O$3:O173,O173,$P$3:P173,P173,$Q$3:Q173,Q173)=1),1,0))</x:f>
      </x:c>
      <x:c r="S173" s="21" t="n">
        <x:f t="shared" si="4">IF(R173=1,Q173,0)</x:f>
        <x:v>0</x:v>
      </x:c>
      <x:c r="T173" s="15"/>
      <x:c r="U173" s="15"/>
      <x:c r="V173" s="15"/>
      <x:c r="W173" s="15"/>
      <x:c r="X173" s="15"/>
      <x:c r="Y173" s="15"/>
      <x:c r="Z173" s="14"/>
    </x:row>
    <x:row r="174" ht="14.399999618530273" customHeight="1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93" t="n">
        <x:f>'Registro de vuelos'!A175</x:f>
        <x:v>0</x:v>
      </x:c>
      <x:c r="O174" s="15" t="n">
        <x:f>'Registro de vuelos'!C175</x:f>
        <x:v>0</x:v>
      </x:c>
      <x:c r="P174" s="15" t="n">
        <x:f>'Registro de vuelos'!E175</x:f>
        <x:v>0</x:v>
      </x:c>
      <x:c r="Q174" s="21" t="n">
        <x:f>'Registro de vuelos'!F175</x:f>
        <x:v>0</x:v>
      </x:c>
      <x:c r="R174" s="21" t="str">
        <x:f>IF(N174="","",IF(AND(COUNTIFS($N$3:$N$502,N174,$O$3:$O$502,O174,$P$3:$P$502,P174,$Q$3:$Q$502,"&gt;"&amp;Q174)=0,COUNTIFS($N$3:N174,N174,$O$3:O174,O174,$P$3:P174,P174,$Q$3:Q174,Q174)=1),1,0))</x:f>
      </x:c>
      <x:c r="S174" s="21" t="n">
        <x:f t="shared" si="4">IF(R174=1,Q174,0)</x:f>
        <x:v>0</x:v>
      </x:c>
      <x:c r="T174" s="15"/>
      <x:c r="U174" s="15"/>
      <x:c r="V174" s="15"/>
      <x:c r="W174" s="15"/>
      <x:c r="X174" s="15"/>
      <x:c r="Y174" s="15"/>
      <x:c r="Z174" s="14"/>
    </x:row>
    <x:row r="175" ht="14.399999618530273" customHeight="1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93" t="n">
        <x:f>'Registro de vuelos'!A176</x:f>
        <x:v>0</x:v>
      </x:c>
      <x:c r="O175" s="15" t="n">
        <x:f>'Registro de vuelos'!C176</x:f>
        <x:v>0</x:v>
      </x:c>
      <x:c r="P175" s="15" t="n">
        <x:f>'Registro de vuelos'!E176</x:f>
        <x:v>0</x:v>
      </x:c>
      <x:c r="Q175" s="21" t="n">
        <x:f>'Registro de vuelos'!F176</x:f>
        <x:v>0</x:v>
      </x:c>
      <x:c r="R175" s="21" t="str">
        <x:f>IF(N175="","",IF(AND(COUNTIFS($N$3:$N$502,N175,$O$3:$O$502,O175,$P$3:$P$502,P175,$Q$3:$Q$502,"&gt;"&amp;Q175)=0,COUNTIFS($N$3:N175,N175,$O$3:O175,O175,$P$3:P175,P175,$Q$3:Q175,Q175)=1),1,0))</x:f>
      </x:c>
      <x:c r="S175" s="21" t="n">
        <x:f t="shared" si="4">IF(R175=1,Q175,0)</x:f>
        <x:v>0</x:v>
      </x:c>
      <x:c r="T175" s="15"/>
      <x:c r="U175" s="15"/>
      <x:c r="V175" s="15"/>
      <x:c r="W175" s="15"/>
      <x:c r="X175" s="15"/>
      <x:c r="Y175" s="15"/>
      <x:c r="Z175" s="14"/>
    </x:row>
    <x:row r="176" ht="14.399999618530273" customHeight="1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93" t="n">
        <x:f>'Registro de vuelos'!A177</x:f>
        <x:v>0</x:v>
      </x:c>
      <x:c r="O176" s="15" t="n">
        <x:f>'Registro de vuelos'!C177</x:f>
        <x:v>0</x:v>
      </x:c>
      <x:c r="P176" s="15" t="n">
        <x:f>'Registro de vuelos'!E177</x:f>
        <x:v>0</x:v>
      </x:c>
      <x:c r="Q176" s="21" t="n">
        <x:f>'Registro de vuelos'!F177</x:f>
        <x:v>0</x:v>
      </x:c>
      <x:c r="R176" s="21" t="str">
        <x:f>IF(N176="","",IF(AND(COUNTIFS($N$3:$N$502,N176,$O$3:$O$502,O176,$P$3:$P$502,P176,$Q$3:$Q$502,"&gt;"&amp;Q176)=0,COUNTIFS($N$3:N176,N176,$O$3:O176,O176,$P$3:P176,P176,$Q$3:Q176,Q176)=1),1,0))</x:f>
      </x:c>
      <x:c r="S176" s="21" t="n">
        <x:f t="shared" si="4">IF(R176=1,Q176,0)</x:f>
        <x:v>0</x:v>
      </x:c>
      <x:c r="T176" s="15"/>
      <x:c r="U176" s="15"/>
      <x:c r="V176" s="15"/>
      <x:c r="W176" s="15"/>
      <x:c r="X176" s="15"/>
      <x:c r="Y176" s="15"/>
      <x:c r="Z176" s="14"/>
    </x:row>
    <x:row r="177" ht="14.399999618530273" customHeight="1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93" t="n">
        <x:f>'Registro de vuelos'!A178</x:f>
        <x:v>0</x:v>
      </x:c>
      <x:c r="O177" s="15" t="n">
        <x:f>'Registro de vuelos'!C178</x:f>
        <x:v>0</x:v>
      </x:c>
      <x:c r="P177" s="15" t="n">
        <x:f>'Registro de vuelos'!E178</x:f>
        <x:v>0</x:v>
      </x:c>
      <x:c r="Q177" s="21" t="n">
        <x:f>'Registro de vuelos'!F178</x:f>
        <x:v>0</x:v>
      </x:c>
      <x:c r="R177" s="21" t="str">
        <x:f>IF(N177="","",IF(AND(COUNTIFS($N$3:$N$502,N177,$O$3:$O$502,O177,$P$3:$P$502,P177,$Q$3:$Q$502,"&gt;"&amp;Q177)=0,COUNTIFS($N$3:N177,N177,$O$3:O177,O177,$P$3:P177,P177,$Q$3:Q177,Q177)=1),1,0))</x:f>
      </x:c>
      <x:c r="S177" s="21" t="n">
        <x:f t="shared" si="4">IF(R177=1,Q177,0)</x:f>
        <x:v>0</x:v>
      </x:c>
      <x:c r="T177" s="15"/>
      <x:c r="U177" s="15"/>
      <x:c r="V177" s="15"/>
      <x:c r="W177" s="15"/>
      <x:c r="X177" s="15"/>
      <x:c r="Y177" s="15"/>
      <x:c r="Z177" s="14"/>
    </x:row>
    <x:row r="178" ht="14.399999618530273" customHeight="1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93" t="n">
        <x:f>'Registro de vuelos'!A179</x:f>
        <x:v>0</x:v>
      </x:c>
      <x:c r="O178" s="15" t="n">
        <x:f>'Registro de vuelos'!C179</x:f>
        <x:v>0</x:v>
      </x:c>
      <x:c r="P178" s="15" t="n">
        <x:f>'Registro de vuelos'!E179</x:f>
        <x:v>0</x:v>
      </x:c>
      <x:c r="Q178" s="21" t="n">
        <x:f>'Registro de vuelos'!F179</x:f>
        <x:v>0</x:v>
      </x:c>
      <x:c r="R178" s="21" t="str">
        <x:f>IF(N178="","",IF(AND(COUNTIFS($N$3:$N$502,N178,$O$3:$O$502,O178,$P$3:$P$502,P178,$Q$3:$Q$502,"&gt;"&amp;Q178)=0,COUNTIFS($N$3:N178,N178,$O$3:O178,O178,$P$3:P178,P178,$Q$3:Q178,Q178)=1),1,0))</x:f>
      </x:c>
      <x:c r="S178" s="21" t="n">
        <x:f t="shared" si="4">IF(R178=1,Q178,0)</x:f>
        <x:v>0</x:v>
      </x:c>
      <x:c r="T178" s="15"/>
      <x:c r="U178" s="15"/>
      <x:c r="V178" s="15"/>
      <x:c r="W178" s="15"/>
      <x:c r="X178" s="15"/>
      <x:c r="Y178" s="15"/>
      <x:c r="Z178" s="14"/>
    </x:row>
    <x:row r="179" ht="14.399999618530273" customHeight="1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93" t="n">
        <x:f>'Registro de vuelos'!A180</x:f>
        <x:v>0</x:v>
      </x:c>
      <x:c r="O179" s="15" t="n">
        <x:f>'Registro de vuelos'!C180</x:f>
        <x:v>0</x:v>
      </x:c>
      <x:c r="P179" s="15" t="n">
        <x:f>'Registro de vuelos'!E180</x:f>
        <x:v>0</x:v>
      </x:c>
      <x:c r="Q179" s="21" t="n">
        <x:f>'Registro de vuelos'!F180</x:f>
        <x:v>0</x:v>
      </x:c>
      <x:c r="R179" s="21" t="str">
        <x:f>IF(N179="","",IF(AND(COUNTIFS($N$3:$N$502,N179,$O$3:$O$502,O179,$P$3:$P$502,P179,$Q$3:$Q$502,"&gt;"&amp;Q179)=0,COUNTIFS($N$3:N179,N179,$O$3:O179,O179,$P$3:P179,P179,$Q$3:Q179,Q179)=1),1,0))</x:f>
      </x:c>
      <x:c r="S179" s="21" t="n">
        <x:f t="shared" si="4">IF(R179=1,Q179,0)</x:f>
        <x:v>0</x:v>
      </x:c>
      <x:c r="T179" s="15"/>
      <x:c r="U179" s="15"/>
      <x:c r="V179" s="15"/>
      <x:c r="W179" s="15"/>
      <x:c r="X179" s="15"/>
      <x:c r="Y179" s="15"/>
      <x:c r="Z179" s="14"/>
    </x:row>
    <x:row r="180" ht="14.399999618530273" customHeight="1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93" t="n">
        <x:f>'Registro de vuelos'!A181</x:f>
        <x:v>0</x:v>
      </x:c>
      <x:c r="O180" s="15" t="n">
        <x:f>'Registro de vuelos'!C181</x:f>
        <x:v>0</x:v>
      </x:c>
      <x:c r="P180" s="15" t="n">
        <x:f>'Registro de vuelos'!E181</x:f>
        <x:v>0</x:v>
      </x:c>
      <x:c r="Q180" s="21" t="n">
        <x:f>'Registro de vuelos'!F181</x:f>
        <x:v>0</x:v>
      </x:c>
      <x:c r="R180" s="21" t="str">
        <x:f>IF(N180="","",IF(AND(COUNTIFS($N$3:$N$502,N180,$O$3:$O$502,O180,$P$3:$P$502,P180,$Q$3:$Q$502,"&gt;"&amp;Q180)=0,COUNTIFS($N$3:N180,N180,$O$3:O180,O180,$P$3:P180,P180,$Q$3:Q180,Q180)=1),1,0))</x:f>
      </x:c>
      <x:c r="S180" s="21" t="n">
        <x:f t="shared" si="4">IF(R180=1,Q180,0)</x:f>
        <x:v>0</x:v>
      </x:c>
      <x:c r="T180" s="15"/>
      <x:c r="U180" s="15"/>
      <x:c r="V180" s="15"/>
      <x:c r="W180" s="15"/>
      <x:c r="X180" s="15"/>
      <x:c r="Y180" s="15"/>
      <x:c r="Z180" s="14"/>
    </x:row>
    <x:row r="181" ht="14.399999618530273" customHeight="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93" t="n">
        <x:f>'Registro de vuelos'!A182</x:f>
        <x:v>0</x:v>
      </x:c>
      <x:c r="O181" s="15" t="n">
        <x:f>'Registro de vuelos'!C182</x:f>
        <x:v>0</x:v>
      </x:c>
      <x:c r="P181" s="15" t="n">
        <x:f>'Registro de vuelos'!E182</x:f>
        <x:v>0</x:v>
      </x:c>
      <x:c r="Q181" s="21" t="n">
        <x:f>'Registro de vuelos'!F182</x:f>
        <x:v>0</x:v>
      </x:c>
      <x:c r="R181" s="21" t="str">
        <x:f>IF(N181="","",IF(AND(COUNTIFS($N$3:$N$502,N181,$O$3:$O$502,O181,$P$3:$P$502,P181,$Q$3:$Q$502,"&gt;"&amp;Q181)=0,COUNTIFS($N$3:N181,N181,$O$3:O181,O181,$P$3:P181,P181,$Q$3:Q181,Q181)=1),1,0))</x:f>
      </x:c>
      <x:c r="S181" s="21" t="n">
        <x:f t="shared" si="4">IF(R181=1,Q181,0)</x:f>
        <x:v>0</x:v>
      </x:c>
      <x:c r="T181" s="15"/>
      <x:c r="U181" s="15"/>
      <x:c r="V181" s="15"/>
      <x:c r="W181" s="15"/>
      <x:c r="X181" s="15"/>
      <x:c r="Y181" s="15"/>
      <x:c r="Z181" s="14"/>
    </x:row>
    <x:row r="182" ht="14.399999618530273" customHeight="1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93" t="n">
        <x:f>'Registro de vuelos'!A183</x:f>
        <x:v>0</x:v>
      </x:c>
      <x:c r="O182" s="15" t="n">
        <x:f>'Registro de vuelos'!C183</x:f>
        <x:v>0</x:v>
      </x:c>
      <x:c r="P182" s="15" t="n">
        <x:f>'Registro de vuelos'!E183</x:f>
        <x:v>0</x:v>
      </x:c>
      <x:c r="Q182" s="21" t="n">
        <x:f>'Registro de vuelos'!F183</x:f>
        <x:v>0</x:v>
      </x:c>
      <x:c r="R182" s="21" t="str">
        <x:f>IF(N182="","",IF(AND(COUNTIFS($N$3:$N$502,N182,$O$3:$O$502,O182,$P$3:$P$502,P182,$Q$3:$Q$502,"&gt;"&amp;Q182)=0,COUNTIFS($N$3:N182,N182,$O$3:O182,O182,$P$3:P182,P182,$Q$3:Q182,Q182)=1),1,0))</x:f>
      </x:c>
      <x:c r="S182" s="21" t="n">
        <x:f t="shared" si="4">IF(R182=1,Q182,0)</x:f>
        <x:v>0</x:v>
      </x:c>
      <x:c r="T182" s="15"/>
      <x:c r="U182" s="15"/>
      <x:c r="V182" s="15"/>
      <x:c r="W182" s="15"/>
      <x:c r="X182" s="15"/>
      <x:c r="Y182" s="15"/>
      <x:c r="Z182" s="14"/>
    </x:row>
    <x:row r="183" ht="14.399999618530273" customHeight="1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93" t="n">
        <x:f>'Registro de vuelos'!A184</x:f>
        <x:v>0</x:v>
      </x:c>
      <x:c r="O183" s="15" t="n">
        <x:f>'Registro de vuelos'!C184</x:f>
        <x:v>0</x:v>
      </x:c>
      <x:c r="P183" s="15" t="n">
        <x:f>'Registro de vuelos'!E184</x:f>
        <x:v>0</x:v>
      </x:c>
      <x:c r="Q183" s="21" t="n">
        <x:f>'Registro de vuelos'!F184</x:f>
        <x:v>0</x:v>
      </x:c>
      <x:c r="R183" s="21" t="str">
        <x:f>IF(N183="","",IF(AND(COUNTIFS($N$3:$N$502,N183,$O$3:$O$502,O183,$P$3:$P$502,P183,$Q$3:$Q$502,"&gt;"&amp;Q183)=0,COUNTIFS($N$3:N183,N183,$O$3:O183,O183,$P$3:P183,P183,$Q$3:Q183,Q183)=1),1,0))</x:f>
      </x:c>
      <x:c r="S183" s="21" t="n">
        <x:f t="shared" si="4">IF(R183=1,Q183,0)</x:f>
        <x:v>0</x:v>
      </x:c>
      <x:c r="T183" s="15"/>
      <x:c r="U183" s="15"/>
      <x:c r="V183" s="15"/>
      <x:c r="W183" s="15"/>
      <x:c r="X183" s="15"/>
      <x:c r="Y183" s="15"/>
      <x:c r="Z183" s="14"/>
    </x:row>
    <x:row r="184" ht="14.399999618530273" customHeight="1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93" t="n">
        <x:f>'Registro de vuelos'!A185</x:f>
        <x:v>0</x:v>
      </x:c>
      <x:c r="O184" s="15" t="n">
        <x:f>'Registro de vuelos'!C185</x:f>
        <x:v>0</x:v>
      </x:c>
      <x:c r="P184" s="15" t="n">
        <x:f>'Registro de vuelos'!E185</x:f>
        <x:v>0</x:v>
      </x:c>
      <x:c r="Q184" s="21" t="n">
        <x:f>'Registro de vuelos'!F185</x:f>
        <x:v>0</x:v>
      </x:c>
      <x:c r="R184" s="21" t="str">
        <x:f>IF(N184="","",IF(AND(COUNTIFS($N$3:$N$502,N184,$O$3:$O$502,O184,$P$3:$P$502,P184,$Q$3:$Q$502,"&gt;"&amp;Q184)=0,COUNTIFS($N$3:N184,N184,$O$3:O184,O184,$P$3:P184,P184,$Q$3:Q184,Q184)=1),1,0))</x:f>
      </x:c>
      <x:c r="S184" s="21" t="n">
        <x:f t="shared" si="4">IF(R184=1,Q184,0)</x:f>
        <x:v>0</x:v>
      </x:c>
      <x:c r="T184" s="15"/>
      <x:c r="U184" s="15"/>
      <x:c r="V184" s="15"/>
      <x:c r="W184" s="15"/>
      <x:c r="X184" s="15"/>
      <x:c r="Y184" s="15"/>
      <x:c r="Z184" s="14"/>
    </x:row>
    <x:row r="185" ht="14.399999618530273" customHeight="1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93" t="n">
        <x:f>'Registro de vuelos'!A186</x:f>
        <x:v>0</x:v>
      </x:c>
      <x:c r="O185" s="15" t="n">
        <x:f>'Registro de vuelos'!C186</x:f>
        <x:v>0</x:v>
      </x:c>
      <x:c r="P185" s="15" t="n">
        <x:f>'Registro de vuelos'!E186</x:f>
        <x:v>0</x:v>
      </x:c>
      <x:c r="Q185" s="21" t="n">
        <x:f>'Registro de vuelos'!F186</x:f>
        <x:v>0</x:v>
      </x:c>
      <x:c r="R185" s="21" t="str">
        <x:f>IF(N185="","",IF(AND(COUNTIFS($N$3:$N$502,N185,$O$3:$O$502,O185,$P$3:$P$502,P185,$Q$3:$Q$502,"&gt;"&amp;Q185)=0,COUNTIFS($N$3:N185,N185,$O$3:O185,O185,$P$3:P185,P185,$Q$3:Q185,Q185)=1),1,0))</x:f>
      </x:c>
      <x:c r="S185" s="21" t="n">
        <x:f t="shared" si="4">IF(R185=1,Q185,0)</x:f>
        <x:v>0</x:v>
      </x:c>
      <x:c r="T185" s="15"/>
      <x:c r="U185" s="15"/>
      <x:c r="V185" s="15"/>
      <x:c r="W185" s="15"/>
      <x:c r="X185" s="15"/>
      <x:c r="Y185" s="15"/>
      <x:c r="Z185" s="14"/>
    </x:row>
    <x:row r="186" ht="14.399999618530273" customHeight="1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93" t="n">
        <x:f>'Registro de vuelos'!A187</x:f>
        <x:v>0</x:v>
      </x:c>
      <x:c r="O186" s="15" t="n">
        <x:f>'Registro de vuelos'!C187</x:f>
        <x:v>0</x:v>
      </x:c>
      <x:c r="P186" s="15" t="n">
        <x:f>'Registro de vuelos'!E187</x:f>
        <x:v>0</x:v>
      </x:c>
      <x:c r="Q186" s="21" t="n">
        <x:f>'Registro de vuelos'!F187</x:f>
        <x:v>0</x:v>
      </x:c>
      <x:c r="R186" s="21" t="str">
        <x:f>IF(N186="","",IF(AND(COUNTIFS($N$3:$N$502,N186,$O$3:$O$502,O186,$P$3:$P$502,P186,$Q$3:$Q$502,"&gt;"&amp;Q186)=0,COUNTIFS($N$3:N186,N186,$O$3:O186,O186,$P$3:P186,P186,$Q$3:Q186,Q186)=1),1,0))</x:f>
      </x:c>
      <x:c r="S186" s="21" t="n">
        <x:f t="shared" si="4">IF(R186=1,Q186,0)</x:f>
        <x:v>0</x:v>
      </x:c>
      <x:c r="T186" s="15"/>
      <x:c r="U186" s="15"/>
      <x:c r="V186" s="15"/>
      <x:c r="W186" s="15"/>
      <x:c r="X186" s="15"/>
      <x:c r="Y186" s="15"/>
      <x:c r="Z186" s="14"/>
    </x:row>
    <x:row r="187" ht="14.399999618530273" customHeight="1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93" t="n">
        <x:f>'Registro de vuelos'!A188</x:f>
        <x:v>0</x:v>
      </x:c>
      <x:c r="O187" s="15" t="n">
        <x:f>'Registro de vuelos'!C188</x:f>
        <x:v>0</x:v>
      </x:c>
      <x:c r="P187" s="15" t="n">
        <x:f>'Registro de vuelos'!E188</x:f>
        <x:v>0</x:v>
      </x:c>
      <x:c r="Q187" s="21" t="n">
        <x:f>'Registro de vuelos'!F188</x:f>
        <x:v>0</x:v>
      </x:c>
      <x:c r="R187" s="21" t="str">
        <x:f>IF(N187="","",IF(AND(COUNTIFS($N$3:$N$502,N187,$O$3:$O$502,O187,$P$3:$P$502,P187,$Q$3:$Q$502,"&gt;"&amp;Q187)=0,COUNTIFS($N$3:N187,N187,$O$3:O187,O187,$P$3:P187,P187,$Q$3:Q187,Q187)=1),1,0))</x:f>
      </x:c>
      <x:c r="S187" s="21" t="n">
        <x:f t="shared" si="4">IF(R187=1,Q187,0)</x:f>
        <x:v>0</x:v>
      </x:c>
      <x:c r="T187" s="15"/>
      <x:c r="U187" s="15"/>
      <x:c r="V187" s="15"/>
      <x:c r="W187" s="15"/>
      <x:c r="X187" s="15"/>
      <x:c r="Y187" s="15"/>
      <x:c r="Z187" s="14"/>
    </x:row>
    <x:row r="188" ht="14.399999618530273" customHeight="1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93" t="n">
        <x:f>'Registro de vuelos'!A189</x:f>
        <x:v>0</x:v>
      </x:c>
      <x:c r="O188" s="15" t="n">
        <x:f>'Registro de vuelos'!C189</x:f>
        <x:v>0</x:v>
      </x:c>
      <x:c r="P188" s="15" t="n">
        <x:f>'Registro de vuelos'!E189</x:f>
        <x:v>0</x:v>
      </x:c>
      <x:c r="Q188" s="21" t="n">
        <x:f>'Registro de vuelos'!F189</x:f>
        <x:v>0</x:v>
      </x:c>
      <x:c r="R188" s="21" t="str">
        <x:f>IF(N188="","",IF(AND(COUNTIFS($N$3:$N$502,N188,$O$3:$O$502,O188,$P$3:$P$502,P188,$Q$3:$Q$502,"&gt;"&amp;Q188)=0,COUNTIFS($N$3:N188,N188,$O$3:O188,O188,$P$3:P188,P188,$Q$3:Q188,Q188)=1),1,0))</x:f>
      </x:c>
      <x:c r="S188" s="21" t="n">
        <x:f t="shared" si="4">IF(R188=1,Q188,0)</x:f>
        <x:v>0</x:v>
      </x:c>
      <x:c r="T188" s="15"/>
      <x:c r="U188" s="15"/>
      <x:c r="V188" s="15"/>
      <x:c r="W188" s="15"/>
      <x:c r="X188" s="15"/>
      <x:c r="Y188" s="15"/>
      <x:c r="Z188" s="14"/>
    </x:row>
    <x:row r="189" ht="14.399999618530273" customHeight="1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93" t="n">
        <x:f>'Registro de vuelos'!A190</x:f>
        <x:v>0</x:v>
      </x:c>
      <x:c r="O189" s="15" t="n">
        <x:f>'Registro de vuelos'!C190</x:f>
        <x:v>0</x:v>
      </x:c>
      <x:c r="P189" s="15" t="n">
        <x:f>'Registro de vuelos'!E190</x:f>
        <x:v>0</x:v>
      </x:c>
      <x:c r="Q189" s="21" t="n">
        <x:f>'Registro de vuelos'!F190</x:f>
        <x:v>0</x:v>
      </x:c>
      <x:c r="R189" s="21" t="str">
        <x:f>IF(N189="","",IF(AND(COUNTIFS($N$3:$N$502,N189,$O$3:$O$502,O189,$P$3:$P$502,P189,$Q$3:$Q$502,"&gt;"&amp;Q189)=0,COUNTIFS($N$3:N189,N189,$O$3:O189,O189,$P$3:P189,P189,$Q$3:Q189,Q189)=1),1,0))</x:f>
      </x:c>
      <x:c r="S189" s="21" t="n">
        <x:f t="shared" si="4">IF(R189=1,Q189,0)</x:f>
        <x:v>0</x:v>
      </x:c>
      <x:c r="T189" s="15"/>
      <x:c r="U189" s="15"/>
      <x:c r="V189" s="15"/>
      <x:c r="W189" s="15"/>
      <x:c r="X189" s="15"/>
      <x:c r="Y189" s="15"/>
      <x:c r="Z189" s="14"/>
    </x:row>
    <x:row r="190" ht="14.399999618530273" customHeight="1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93" t="n">
        <x:f>'Registro de vuelos'!A191</x:f>
        <x:v>0</x:v>
      </x:c>
      <x:c r="O190" s="15" t="n">
        <x:f>'Registro de vuelos'!C191</x:f>
        <x:v>0</x:v>
      </x:c>
      <x:c r="P190" s="15" t="n">
        <x:f>'Registro de vuelos'!E191</x:f>
        <x:v>0</x:v>
      </x:c>
      <x:c r="Q190" s="21" t="n">
        <x:f>'Registro de vuelos'!F191</x:f>
        <x:v>0</x:v>
      </x:c>
      <x:c r="R190" s="21" t="str">
        <x:f>IF(N190="","",IF(AND(COUNTIFS($N$3:$N$502,N190,$O$3:$O$502,O190,$P$3:$P$502,P190,$Q$3:$Q$502,"&gt;"&amp;Q190)=0,COUNTIFS($N$3:N190,N190,$O$3:O190,O190,$P$3:P190,P190,$Q$3:Q190,Q190)=1),1,0))</x:f>
      </x:c>
      <x:c r="S190" s="21" t="n">
        <x:f t="shared" si="4">IF(R190=1,Q190,0)</x:f>
        <x:v>0</x:v>
      </x:c>
      <x:c r="T190" s="15"/>
      <x:c r="U190" s="15"/>
      <x:c r="V190" s="15"/>
      <x:c r="W190" s="15"/>
      <x:c r="X190" s="15"/>
      <x:c r="Y190" s="15"/>
      <x:c r="Z190" s="14"/>
    </x:row>
    <x:row r="191" ht="14.399999618530273" customHeight="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93" t="n">
        <x:f>'Registro de vuelos'!A192</x:f>
        <x:v>0</x:v>
      </x:c>
      <x:c r="O191" s="15" t="n">
        <x:f>'Registro de vuelos'!C192</x:f>
        <x:v>0</x:v>
      </x:c>
      <x:c r="P191" s="15" t="n">
        <x:f>'Registro de vuelos'!E192</x:f>
        <x:v>0</x:v>
      </x:c>
      <x:c r="Q191" s="21" t="n">
        <x:f>'Registro de vuelos'!F192</x:f>
        <x:v>0</x:v>
      </x:c>
      <x:c r="R191" s="21" t="str">
        <x:f>IF(N191="","",IF(AND(COUNTIFS($N$3:$N$502,N191,$O$3:$O$502,O191,$P$3:$P$502,P191,$Q$3:$Q$502,"&gt;"&amp;Q191)=0,COUNTIFS($N$3:N191,N191,$O$3:O191,O191,$P$3:P191,P191,$Q$3:Q191,Q191)=1),1,0))</x:f>
      </x:c>
      <x:c r="S191" s="21" t="n">
        <x:f t="shared" si="4">IF(R191=1,Q191,0)</x:f>
        <x:v>0</x:v>
      </x:c>
      <x:c r="T191" s="15"/>
      <x:c r="U191" s="15"/>
      <x:c r="V191" s="15"/>
      <x:c r="W191" s="15"/>
      <x:c r="X191" s="15"/>
      <x:c r="Y191" s="15"/>
      <x:c r="Z191" s="14"/>
    </x:row>
    <x:row r="192" ht="14.399999618530273" customHeight="1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93" t="n">
        <x:f>'Registro de vuelos'!A193</x:f>
        <x:v>0</x:v>
      </x:c>
      <x:c r="O192" s="15" t="n">
        <x:f>'Registro de vuelos'!C193</x:f>
        <x:v>0</x:v>
      </x:c>
      <x:c r="P192" s="15" t="n">
        <x:f>'Registro de vuelos'!E193</x:f>
        <x:v>0</x:v>
      </x:c>
      <x:c r="Q192" s="21" t="n">
        <x:f>'Registro de vuelos'!F193</x:f>
        <x:v>0</x:v>
      </x:c>
      <x:c r="R192" s="21" t="str">
        <x:f>IF(N192="","",IF(AND(COUNTIFS($N$3:$N$502,N192,$O$3:$O$502,O192,$P$3:$P$502,P192,$Q$3:$Q$502,"&gt;"&amp;Q192)=0,COUNTIFS($N$3:N192,N192,$O$3:O192,O192,$P$3:P192,P192,$Q$3:Q192,Q192)=1),1,0))</x:f>
      </x:c>
      <x:c r="S192" s="21" t="n">
        <x:f t="shared" si="4">IF(R192=1,Q192,0)</x:f>
        <x:v>0</x:v>
      </x:c>
      <x:c r="T192" s="15"/>
      <x:c r="U192" s="15"/>
      <x:c r="V192" s="15"/>
      <x:c r="W192" s="15"/>
      <x:c r="X192" s="15"/>
      <x:c r="Y192" s="15"/>
      <x:c r="Z192" s="14"/>
    </x:row>
    <x:row r="193" ht="14.399999618530273" customHeight="1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93" t="n">
        <x:f>'Registro de vuelos'!A194</x:f>
        <x:v>0</x:v>
      </x:c>
      <x:c r="O193" s="15" t="n">
        <x:f>'Registro de vuelos'!C194</x:f>
        <x:v>0</x:v>
      </x:c>
      <x:c r="P193" s="15" t="n">
        <x:f>'Registro de vuelos'!E194</x:f>
        <x:v>0</x:v>
      </x:c>
      <x:c r="Q193" s="21" t="n">
        <x:f>'Registro de vuelos'!F194</x:f>
        <x:v>0</x:v>
      </x:c>
      <x:c r="R193" s="21" t="str">
        <x:f>IF(N193="","",IF(AND(COUNTIFS($N$3:$N$502,N193,$O$3:$O$502,O193,$P$3:$P$502,P193,$Q$3:$Q$502,"&gt;"&amp;Q193)=0,COUNTIFS($N$3:N193,N193,$O$3:O193,O193,$P$3:P193,P193,$Q$3:Q193,Q193)=1),1,0))</x:f>
      </x:c>
      <x:c r="S193" s="21" t="n">
        <x:f t="shared" si="4">IF(R193=1,Q193,0)</x:f>
        <x:v>0</x:v>
      </x:c>
      <x:c r="T193" s="15"/>
      <x:c r="U193" s="15"/>
      <x:c r="V193" s="15"/>
      <x:c r="W193" s="15"/>
      <x:c r="X193" s="15"/>
      <x:c r="Y193" s="15"/>
      <x:c r="Z193" s="14"/>
    </x:row>
    <x:row r="194" ht="14.399999618530273" customHeight="1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93" t="n">
        <x:f>'Registro de vuelos'!A195</x:f>
        <x:v>0</x:v>
      </x:c>
      <x:c r="O194" s="15" t="n">
        <x:f>'Registro de vuelos'!C195</x:f>
        <x:v>0</x:v>
      </x:c>
      <x:c r="P194" s="15" t="n">
        <x:f>'Registro de vuelos'!E195</x:f>
        <x:v>0</x:v>
      </x:c>
      <x:c r="Q194" s="21" t="n">
        <x:f>'Registro de vuelos'!F195</x:f>
        <x:v>0</x:v>
      </x:c>
      <x:c r="R194" s="21" t="str">
        <x:f>IF(N194="","",IF(AND(COUNTIFS($N$3:$N$502,N194,$O$3:$O$502,O194,$P$3:$P$502,P194,$Q$3:$Q$502,"&gt;"&amp;Q194)=0,COUNTIFS($N$3:N194,N194,$O$3:O194,O194,$P$3:P194,P194,$Q$3:Q194,Q194)=1),1,0))</x:f>
      </x:c>
      <x:c r="S194" s="21" t="n">
        <x:f t="shared" si="4">IF(R194=1,Q194,0)</x:f>
        <x:v>0</x:v>
      </x:c>
      <x:c r="T194" s="15"/>
      <x:c r="U194" s="15"/>
      <x:c r="V194" s="15"/>
      <x:c r="W194" s="15"/>
      <x:c r="X194" s="15"/>
      <x:c r="Y194" s="15"/>
      <x:c r="Z194" s="14"/>
    </x:row>
    <x:row r="195" ht="14.399999618530273" customHeight="1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93" t="n">
        <x:f>'Registro de vuelos'!A196</x:f>
        <x:v>0</x:v>
      </x:c>
      <x:c r="O195" s="15" t="n">
        <x:f>'Registro de vuelos'!C196</x:f>
        <x:v>0</x:v>
      </x:c>
      <x:c r="P195" s="15" t="n">
        <x:f>'Registro de vuelos'!E196</x:f>
        <x:v>0</x:v>
      </x:c>
      <x:c r="Q195" s="21" t="n">
        <x:f>'Registro de vuelos'!F196</x:f>
        <x:v>0</x:v>
      </x:c>
      <x:c r="R195" s="21" t="str">
        <x:f>IF(N195="","",IF(AND(COUNTIFS($N$3:$N$502,N195,$O$3:$O$502,O195,$P$3:$P$502,P195,$Q$3:$Q$502,"&gt;"&amp;Q195)=0,COUNTIFS($N$3:N195,N195,$O$3:O195,O195,$P$3:P195,P195,$Q$3:Q195,Q195)=1),1,0))</x:f>
      </x:c>
      <x:c r="S195" s="21" t="n">
        <x:f t="shared" ref="S195:S258" si="5">IF(R195=1,Q195,0)</x:f>
        <x:v>0</x:v>
      </x:c>
      <x:c r="T195" s="15"/>
      <x:c r="U195" s="15"/>
      <x:c r="V195" s="15"/>
      <x:c r="W195" s="15"/>
      <x:c r="X195" s="15"/>
      <x:c r="Y195" s="15"/>
      <x:c r="Z195" s="14"/>
    </x:row>
    <x:row r="196" ht="14.399999618530273" customHeight="1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93" t="n">
        <x:f>'Registro de vuelos'!A197</x:f>
        <x:v>0</x:v>
      </x:c>
      <x:c r="O196" s="15" t="n">
        <x:f>'Registro de vuelos'!C197</x:f>
        <x:v>0</x:v>
      </x:c>
      <x:c r="P196" s="15" t="n">
        <x:f>'Registro de vuelos'!E197</x:f>
        <x:v>0</x:v>
      </x:c>
      <x:c r="Q196" s="21" t="n">
        <x:f>'Registro de vuelos'!F197</x:f>
        <x:v>0</x:v>
      </x:c>
      <x:c r="R196" s="21" t="str">
        <x:f>IF(N196="","",IF(AND(COUNTIFS($N$3:$N$502,N196,$O$3:$O$502,O196,$P$3:$P$502,P196,$Q$3:$Q$502,"&gt;"&amp;Q196)=0,COUNTIFS($N$3:N196,N196,$O$3:O196,O196,$P$3:P196,P196,$Q$3:Q196,Q196)=1),1,0))</x:f>
      </x:c>
      <x:c r="S196" s="21" t="n">
        <x:f t="shared" si="5">IF(R196=1,Q196,0)</x:f>
        <x:v>0</x:v>
      </x:c>
      <x:c r="T196" s="15"/>
      <x:c r="U196" s="15"/>
      <x:c r="V196" s="15"/>
      <x:c r="W196" s="15"/>
      <x:c r="X196" s="15"/>
      <x:c r="Y196" s="15"/>
      <x:c r="Z196" s="14"/>
    </x:row>
    <x:row r="197" ht="14.399999618530273" customHeight="1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93" t="n">
        <x:f>'Registro de vuelos'!A198</x:f>
        <x:v>0</x:v>
      </x:c>
      <x:c r="O197" s="15" t="n">
        <x:f>'Registro de vuelos'!C198</x:f>
        <x:v>0</x:v>
      </x:c>
      <x:c r="P197" s="15" t="n">
        <x:f>'Registro de vuelos'!E198</x:f>
        <x:v>0</x:v>
      </x:c>
      <x:c r="Q197" s="21" t="n">
        <x:f>'Registro de vuelos'!F198</x:f>
        <x:v>0</x:v>
      </x:c>
      <x:c r="R197" s="21" t="str">
        <x:f>IF(N197="","",IF(AND(COUNTIFS($N$3:$N$502,N197,$O$3:$O$502,O197,$P$3:$P$502,P197,$Q$3:$Q$502,"&gt;"&amp;Q197)=0,COUNTIFS($N$3:N197,N197,$O$3:O197,O197,$P$3:P197,P197,$Q$3:Q197,Q197)=1),1,0))</x:f>
      </x:c>
      <x:c r="S197" s="21" t="n">
        <x:f t="shared" si="5">IF(R197=1,Q197,0)</x:f>
        <x:v>0</x:v>
      </x:c>
      <x:c r="T197" s="15"/>
      <x:c r="U197" s="15"/>
      <x:c r="V197" s="15"/>
      <x:c r="W197" s="15"/>
      <x:c r="X197" s="15"/>
      <x:c r="Y197" s="15"/>
      <x:c r="Z197" s="14"/>
    </x:row>
    <x:row r="198" ht="14.399999618530273" customHeight="1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93" t="n">
        <x:f>'Registro de vuelos'!A199</x:f>
        <x:v>0</x:v>
      </x:c>
      <x:c r="O198" s="15" t="n">
        <x:f>'Registro de vuelos'!C199</x:f>
        <x:v>0</x:v>
      </x:c>
      <x:c r="P198" s="15" t="n">
        <x:f>'Registro de vuelos'!E199</x:f>
        <x:v>0</x:v>
      </x:c>
      <x:c r="Q198" s="21" t="n">
        <x:f>'Registro de vuelos'!F199</x:f>
        <x:v>0</x:v>
      </x:c>
      <x:c r="R198" s="21" t="str">
        <x:f>IF(N198="","",IF(AND(COUNTIFS($N$3:$N$502,N198,$O$3:$O$502,O198,$P$3:$P$502,P198,$Q$3:$Q$502,"&gt;"&amp;Q198)=0,COUNTIFS($N$3:N198,N198,$O$3:O198,O198,$P$3:P198,P198,$Q$3:Q198,Q198)=1),1,0))</x:f>
      </x:c>
      <x:c r="S198" s="21" t="n">
        <x:f t="shared" si="5">IF(R198=1,Q198,0)</x:f>
        <x:v>0</x:v>
      </x:c>
      <x:c r="T198" s="15"/>
      <x:c r="U198" s="15"/>
      <x:c r="V198" s="15"/>
      <x:c r="W198" s="15"/>
      <x:c r="X198" s="15"/>
      <x:c r="Y198" s="15"/>
      <x:c r="Z198" s="14"/>
    </x:row>
    <x:row r="199" ht="14.399999618530273" customHeight="1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93" t="n">
        <x:f>'Registro de vuelos'!A200</x:f>
        <x:v>0</x:v>
      </x:c>
      <x:c r="O199" s="15" t="n">
        <x:f>'Registro de vuelos'!C200</x:f>
        <x:v>0</x:v>
      </x:c>
      <x:c r="P199" s="15" t="n">
        <x:f>'Registro de vuelos'!E200</x:f>
        <x:v>0</x:v>
      </x:c>
      <x:c r="Q199" s="21" t="n">
        <x:f>'Registro de vuelos'!F200</x:f>
        <x:v>0</x:v>
      </x:c>
      <x:c r="R199" s="21" t="str">
        <x:f>IF(N199="","",IF(AND(COUNTIFS($N$3:$N$502,N199,$O$3:$O$502,O199,$P$3:$P$502,P199,$Q$3:$Q$502,"&gt;"&amp;Q199)=0,COUNTIFS($N$3:N199,N199,$O$3:O199,O199,$P$3:P199,P199,$Q$3:Q199,Q199)=1),1,0))</x:f>
      </x:c>
      <x:c r="S199" s="21" t="n">
        <x:f t="shared" si="5">IF(R199=1,Q199,0)</x:f>
        <x:v>0</x:v>
      </x:c>
      <x:c r="T199" s="15"/>
      <x:c r="U199" s="15"/>
      <x:c r="V199" s="15"/>
      <x:c r="W199" s="15"/>
      <x:c r="X199" s="15"/>
      <x:c r="Y199" s="15"/>
      <x:c r="Z199" s="14"/>
    </x:row>
    <x:row r="200" ht="14.399999618530273" customHeight="1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93" t="n">
        <x:f>'Registro de vuelos'!A201</x:f>
        <x:v>0</x:v>
      </x:c>
      <x:c r="O200" s="15" t="n">
        <x:f>'Registro de vuelos'!C201</x:f>
        <x:v>0</x:v>
      </x:c>
      <x:c r="P200" s="15" t="n">
        <x:f>'Registro de vuelos'!E201</x:f>
        <x:v>0</x:v>
      </x:c>
      <x:c r="Q200" s="21" t="n">
        <x:f>'Registro de vuelos'!F201</x:f>
        <x:v>0</x:v>
      </x:c>
      <x:c r="R200" s="21" t="str">
        <x:f>IF(N200="","",IF(AND(COUNTIFS($N$3:$N$502,N200,$O$3:$O$502,O200,$P$3:$P$502,P200,$Q$3:$Q$502,"&gt;"&amp;Q200)=0,COUNTIFS($N$3:N200,N200,$O$3:O200,O200,$P$3:P200,P200,$Q$3:Q200,Q200)=1),1,0))</x:f>
      </x:c>
      <x:c r="S200" s="21" t="n">
        <x:f t="shared" si="5">IF(R200=1,Q200,0)</x:f>
        <x:v>0</x:v>
      </x:c>
      <x:c r="T200" s="15"/>
      <x:c r="U200" s="15"/>
      <x:c r="V200" s="15"/>
      <x:c r="W200" s="15"/>
      <x:c r="X200" s="15"/>
      <x:c r="Y200" s="15"/>
      <x:c r="Z200" s="14"/>
    </x:row>
    <x:row r="201" ht="14.399999618530273" customHeight="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14"/>
      <x:c r="L201" s="14"/>
      <x:c r="M201" s="14"/>
      <x:c r="N201" s="93" t="n">
        <x:f>'Registro de vuelos'!A202</x:f>
        <x:v>0</x:v>
      </x:c>
      <x:c r="O201" s="15" t="n">
        <x:f>'Registro de vuelos'!C202</x:f>
        <x:v>0</x:v>
      </x:c>
      <x:c r="P201" s="15" t="n">
        <x:f>'Registro de vuelos'!E202</x:f>
        <x:v>0</x:v>
      </x:c>
      <x:c r="Q201" s="21" t="n">
        <x:f>'Registro de vuelos'!F202</x:f>
        <x:v>0</x:v>
      </x:c>
      <x:c r="R201" s="21" t="str">
        <x:f>IF(N201="","",IF(AND(COUNTIFS($N$3:$N$502,N201,$O$3:$O$502,O201,$P$3:$P$502,P201,$Q$3:$Q$502,"&gt;"&amp;Q201)=0,COUNTIFS($N$3:N201,N201,$O$3:O201,O201,$P$3:P201,P201,$Q$3:Q201,Q201)=1),1,0))</x:f>
      </x:c>
      <x:c r="S201" s="21" t="n">
        <x:f t="shared" si="5">IF(R201=1,Q201,0)</x:f>
        <x:v>0</x:v>
      </x:c>
      <x:c r="T201" s="15"/>
      <x:c r="U201" s="15"/>
      <x:c r="V201" s="15"/>
      <x:c r="W201" s="15"/>
      <x:c r="X201" s="15"/>
      <x:c r="Y201" s="15"/>
      <x:c r="Z201" s="14"/>
    </x:row>
    <x:row r="202" ht="14.399999618530273" customHeight="1">
      <x:c r="A202" s="14"/>
      <x:c r="B202" s="14"/>
      <x:c r="C202" s="14"/>
      <x:c r="D202" s="14"/>
      <x:c r="E202" s="14"/>
      <x:c r="F202" s="14"/>
      <x:c r="G202" s="14"/>
      <x:c r="H202" s="14"/>
      <x:c r="I202" s="14"/>
      <x:c r="J202" s="14"/>
      <x:c r="K202" s="14"/>
      <x:c r="L202" s="14"/>
      <x:c r="M202" s="14"/>
      <x:c r="N202" s="93" t="n">
        <x:f>'Registro de vuelos'!A203</x:f>
        <x:v>0</x:v>
      </x:c>
      <x:c r="O202" s="15" t="n">
        <x:f>'Registro de vuelos'!C203</x:f>
        <x:v>0</x:v>
      </x:c>
      <x:c r="P202" s="15" t="n">
        <x:f>'Registro de vuelos'!E203</x:f>
        <x:v>0</x:v>
      </x:c>
      <x:c r="Q202" s="21" t="n">
        <x:f>'Registro de vuelos'!F203</x:f>
        <x:v>0</x:v>
      </x:c>
      <x:c r="R202" s="21" t="str">
        <x:f>IF(N202="","",IF(AND(COUNTIFS($N$3:$N$502,N202,$O$3:$O$502,O202,$P$3:$P$502,P202,$Q$3:$Q$502,"&gt;"&amp;Q202)=0,COUNTIFS($N$3:N202,N202,$O$3:O202,O202,$P$3:P202,P202,$Q$3:Q202,Q202)=1),1,0))</x:f>
      </x:c>
      <x:c r="S202" s="21" t="n">
        <x:f t="shared" si="5">IF(R202=1,Q202,0)</x:f>
        <x:v>0</x:v>
      </x:c>
      <x:c r="T202" s="15"/>
      <x:c r="U202" s="15"/>
      <x:c r="V202" s="15"/>
      <x:c r="W202" s="15"/>
      <x:c r="X202" s="15"/>
      <x:c r="Y202" s="15"/>
      <x:c r="Z202" s="14"/>
    </x:row>
    <x:row r="203" ht="14.399999618530273" customHeight="1">
      <x:c r="A203" s="14"/>
      <x:c r="B203" s="14"/>
      <x:c r="C203" s="14"/>
      <x:c r="D203" s="14"/>
      <x:c r="E203" s="14"/>
      <x:c r="F203" s="14"/>
      <x:c r="G203" s="14"/>
      <x:c r="H203" s="14"/>
      <x:c r="I203" s="14"/>
      <x:c r="J203" s="14"/>
      <x:c r="K203" s="14"/>
      <x:c r="L203" s="14"/>
      <x:c r="M203" s="14"/>
      <x:c r="N203" s="93" t="n">
        <x:f>'Registro de vuelos'!A204</x:f>
        <x:v>0</x:v>
      </x:c>
      <x:c r="O203" s="15" t="n">
        <x:f>'Registro de vuelos'!C204</x:f>
        <x:v>0</x:v>
      </x:c>
      <x:c r="P203" s="15" t="n">
        <x:f>'Registro de vuelos'!E204</x:f>
        <x:v>0</x:v>
      </x:c>
      <x:c r="Q203" s="21" t="n">
        <x:f>'Registro de vuelos'!F204</x:f>
        <x:v>0</x:v>
      </x:c>
      <x:c r="R203" s="21" t="str">
        <x:f>IF(N203="","",IF(AND(COUNTIFS($N$3:$N$502,N203,$O$3:$O$502,O203,$P$3:$P$502,P203,$Q$3:$Q$502,"&gt;"&amp;Q203)=0,COUNTIFS($N$3:N203,N203,$O$3:O203,O203,$P$3:P203,P203,$Q$3:Q203,Q203)=1),1,0))</x:f>
      </x:c>
      <x:c r="S203" s="21" t="n">
        <x:f t="shared" si="5">IF(R203=1,Q203,0)</x:f>
        <x:v>0</x:v>
      </x:c>
      <x:c r="T203" s="15"/>
      <x:c r="U203" s="15"/>
      <x:c r="V203" s="15"/>
      <x:c r="W203" s="15"/>
      <x:c r="X203" s="15"/>
      <x:c r="Y203" s="15"/>
      <x:c r="Z203" s="14"/>
    </x:row>
    <x:row r="204" ht="14.399999618530273" customHeight="1">
      <x:c r="A204" s="14"/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14"/>
      <x:c r="L204" s="14"/>
      <x:c r="M204" s="14"/>
      <x:c r="N204" s="93" t="n">
        <x:f>'Registro de vuelos'!A205</x:f>
        <x:v>0</x:v>
      </x:c>
      <x:c r="O204" s="15" t="n">
        <x:f>'Registro de vuelos'!C205</x:f>
        <x:v>0</x:v>
      </x:c>
      <x:c r="P204" s="15" t="n">
        <x:f>'Registro de vuelos'!E205</x:f>
        <x:v>0</x:v>
      </x:c>
      <x:c r="Q204" s="21" t="n">
        <x:f>'Registro de vuelos'!F205</x:f>
        <x:v>0</x:v>
      </x:c>
      <x:c r="R204" s="21" t="str">
        <x:f>IF(N204="","",IF(AND(COUNTIFS($N$3:$N$502,N204,$O$3:$O$502,O204,$P$3:$P$502,P204,$Q$3:$Q$502,"&gt;"&amp;Q204)=0,COUNTIFS($N$3:N204,N204,$O$3:O204,O204,$P$3:P204,P204,$Q$3:Q204,Q204)=1),1,0))</x:f>
      </x:c>
      <x:c r="S204" s="21" t="n">
        <x:f t="shared" si="5">IF(R204=1,Q204,0)</x:f>
        <x:v>0</x:v>
      </x:c>
      <x:c r="T204" s="15"/>
      <x:c r="U204" s="15"/>
      <x:c r="V204" s="15"/>
      <x:c r="W204" s="15"/>
      <x:c r="X204" s="15"/>
      <x:c r="Y204" s="15"/>
      <x:c r="Z204" s="14"/>
    </x:row>
    <x:row r="205" ht="14.399999618530273" customHeight="1">
      <x:c r="A205" s="14"/>
      <x:c r="B205" s="14"/>
      <x:c r="C205" s="14"/>
      <x:c r="D205" s="14"/>
      <x:c r="E205" s="14"/>
      <x:c r="F205" s="14"/>
      <x:c r="G205" s="14"/>
      <x:c r="H205" s="14"/>
      <x:c r="I205" s="14"/>
      <x:c r="J205" s="14"/>
      <x:c r="K205" s="14"/>
      <x:c r="L205" s="14"/>
      <x:c r="M205" s="14"/>
      <x:c r="N205" s="93" t="n">
        <x:f>'Registro de vuelos'!A206</x:f>
        <x:v>0</x:v>
      </x:c>
      <x:c r="O205" s="15" t="n">
        <x:f>'Registro de vuelos'!C206</x:f>
        <x:v>0</x:v>
      </x:c>
      <x:c r="P205" s="15" t="n">
        <x:f>'Registro de vuelos'!E206</x:f>
        <x:v>0</x:v>
      </x:c>
      <x:c r="Q205" s="21" t="n">
        <x:f>'Registro de vuelos'!F206</x:f>
        <x:v>0</x:v>
      </x:c>
      <x:c r="R205" s="21" t="str">
        <x:f>IF(N205="","",IF(AND(COUNTIFS($N$3:$N$502,N205,$O$3:$O$502,O205,$P$3:$P$502,P205,$Q$3:$Q$502,"&gt;"&amp;Q205)=0,COUNTIFS($N$3:N205,N205,$O$3:O205,O205,$P$3:P205,P205,$Q$3:Q205,Q205)=1),1,0))</x:f>
      </x:c>
      <x:c r="S205" s="21" t="n">
        <x:f t="shared" si="5">IF(R205=1,Q205,0)</x:f>
        <x:v>0</x:v>
      </x:c>
      <x:c r="T205" s="15"/>
      <x:c r="U205" s="15"/>
      <x:c r="V205" s="15"/>
      <x:c r="W205" s="15"/>
      <x:c r="X205" s="15"/>
      <x:c r="Y205" s="15"/>
      <x:c r="Z205" s="14"/>
    </x:row>
    <x:row r="206" ht="14.399999618530273" customHeight="1">
      <x:c r="A206" s="14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14"/>
      <x:c r="L206" s="14"/>
      <x:c r="M206" s="14"/>
      <x:c r="N206" s="93" t="n">
        <x:f>'Registro de vuelos'!A207</x:f>
        <x:v>0</x:v>
      </x:c>
      <x:c r="O206" s="15" t="n">
        <x:f>'Registro de vuelos'!C207</x:f>
        <x:v>0</x:v>
      </x:c>
      <x:c r="P206" s="15" t="n">
        <x:f>'Registro de vuelos'!E207</x:f>
        <x:v>0</x:v>
      </x:c>
      <x:c r="Q206" s="21" t="n">
        <x:f>'Registro de vuelos'!F207</x:f>
        <x:v>0</x:v>
      </x:c>
      <x:c r="R206" s="21" t="str">
        <x:f>IF(N206="","",IF(AND(COUNTIFS($N$3:$N$502,N206,$O$3:$O$502,O206,$P$3:$P$502,P206,$Q$3:$Q$502,"&gt;"&amp;Q206)=0,COUNTIFS($N$3:N206,N206,$O$3:O206,O206,$P$3:P206,P206,$Q$3:Q206,Q206)=1),1,0))</x:f>
      </x:c>
      <x:c r="S206" s="21" t="n">
        <x:f t="shared" si="5">IF(R206=1,Q206,0)</x:f>
        <x:v>0</x:v>
      </x:c>
      <x:c r="T206" s="15"/>
      <x:c r="U206" s="15"/>
      <x:c r="V206" s="15"/>
      <x:c r="W206" s="15"/>
      <x:c r="X206" s="15"/>
      <x:c r="Y206" s="15"/>
      <x:c r="Z206" s="14"/>
    </x:row>
    <x:row r="207" ht="14.399999618530273" customHeight="1">
      <x:c r="A207" s="14"/>
      <x:c r="B207" s="14"/>
      <x:c r="C207" s="14"/>
      <x:c r="D207" s="14"/>
      <x:c r="E207" s="14"/>
      <x:c r="F207" s="14"/>
      <x:c r="G207" s="14"/>
      <x:c r="H207" s="14"/>
      <x:c r="I207" s="14"/>
      <x:c r="J207" s="14"/>
      <x:c r="K207" s="14"/>
      <x:c r="L207" s="14"/>
      <x:c r="M207" s="14"/>
      <x:c r="N207" s="93" t="n">
        <x:f>'Registro de vuelos'!A208</x:f>
        <x:v>0</x:v>
      </x:c>
      <x:c r="O207" s="15" t="n">
        <x:f>'Registro de vuelos'!C208</x:f>
        <x:v>0</x:v>
      </x:c>
      <x:c r="P207" s="15" t="n">
        <x:f>'Registro de vuelos'!E208</x:f>
        <x:v>0</x:v>
      </x:c>
      <x:c r="Q207" s="21" t="n">
        <x:f>'Registro de vuelos'!F208</x:f>
        <x:v>0</x:v>
      </x:c>
      <x:c r="R207" s="21" t="str">
        <x:f>IF(N207="","",IF(AND(COUNTIFS($N$3:$N$502,N207,$O$3:$O$502,O207,$P$3:$P$502,P207,$Q$3:$Q$502,"&gt;"&amp;Q207)=0,COUNTIFS($N$3:N207,N207,$O$3:O207,O207,$P$3:P207,P207,$Q$3:Q207,Q207)=1),1,0))</x:f>
      </x:c>
      <x:c r="S207" s="21" t="n">
        <x:f t="shared" si="5">IF(R207=1,Q207,0)</x:f>
        <x:v>0</x:v>
      </x:c>
      <x:c r="T207" s="15"/>
      <x:c r="U207" s="15"/>
      <x:c r="V207" s="15"/>
      <x:c r="W207" s="15"/>
      <x:c r="X207" s="15"/>
      <x:c r="Y207" s="15"/>
      <x:c r="Z207" s="14"/>
    </x:row>
    <x:row r="208" ht="14.399999618530273" customHeight="1">
      <x:c r="A208" s="14"/>
      <x:c r="B208" s="14"/>
      <x:c r="C208" s="14"/>
      <x:c r="D208" s="14"/>
      <x:c r="E208" s="14"/>
      <x:c r="F208" s="14"/>
      <x:c r="G208" s="14"/>
      <x:c r="H208" s="14"/>
      <x:c r="I208" s="14"/>
      <x:c r="J208" s="14"/>
      <x:c r="K208" s="14"/>
      <x:c r="L208" s="14"/>
      <x:c r="M208" s="14"/>
      <x:c r="N208" s="93" t="n">
        <x:f>'Registro de vuelos'!A209</x:f>
        <x:v>0</x:v>
      </x:c>
      <x:c r="O208" s="15" t="n">
        <x:f>'Registro de vuelos'!C209</x:f>
        <x:v>0</x:v>
      </x:c>
      <x:c r="P208" s="15" t="n">
        <x:f>'Registro de vuelos'!E209</x:f>
        <x:v>0</x:v>
      </x:c>
      <x:c r="Q208" s="21" t="n">
        <x:f>'Registro de vuelos'!F209</x:f>
        <x:v>0</x:v>
      </x:c>
      <x:c r="R208" s="21" t="str">
        <x:f>IF(N208="","",IF(AND(COUNTIFS($N$3:$N$502,N208,$O$3:$O$502,O208,$P$3:$P$502,P208,$Q$3:$Q$502,"&gt;"&amp;Q208)=0,COUNTIFS($N$3:N208,N208,$O$3:O208,O208,$P$3:P208,P208,$Q$3:Q208,Q208)=1),1,0))</x:f>
      </x:c>
      <x:c r="S208" s="21" t="n">
        <x:f t="shared" si="5">IF(R208=1,Q208,0)</x:f>
        <x:v>0</x:v>
      </x:c>
      <x:c r="T208" s="15"/>
      <x:c r="U208" s="15"/>
      <x:c r="V208" s="15"/>
      <x:c r="W208" s="15"/>
      <x:c r="X208" s="15"/>
      <x:c r="Y208" s="15"/>
      <x:c r="Z208" s="14"/>
    </x:row>
    <x:row r="209" ht="14.399999618530273" customHeight="1">
      <x:c r="A209" s="14"/>
      <x:c r="B209" s="14"/>
      <x:c r="C209" s="14"/>
      <x:c r="D209" s="14"/>
      <x:c r="E209" s="14"/>
      <x:c r="F209" s="14"/>
      <x:c r="G209" s="14"/>
      <x:c r="H209" s="14"/>
      <x:c r="I209" s="14"/>
      <x:c r="J209" s="14"/>
      <x:c r="K209" s="14"/>
      <x:c r="L209" s="14"/>
      <x:c r="M209" s="14"/>
      <x:c r="N209" s="93" t="n">
        <x:f>'Registro de vuelos'!A210</x:f>
        <x:v>0</x:v>
      </x:c>
      <x:c r="O209" s="15" t="n">
        <x:f>'Registro de vuelos'!C210</x:f>
        <x:v>0</x:v>
      </x:c>
      <x:c r="P209" s="15" t="n">
        <x:f>'Registro de vuelos'!E210</x:f>
        <x:v>0</x:v>
      </x:c>
      <x:c r="Q209" s="21" t="n">
        <x:f>'Registro de vuelos'!F210</x:f>
        <x:v>0</x:v>
      </x:c>
      <x:c r="R209" s="21" t="str">
        <x:f>IF(N209="","",IF(AND(COUNTIFS($N$3:$N$502,N209,$O$3:$O$502,O209,$P$3:$P$502,P209,$Q$3:$Q$502,"&gt;"&amp;Q209)=0,COUNTIFS($N$3:N209,N209,$O$3:O209,O209,$P$3:P209,P209,$Q$3:Q209,Q209)=1),1,0))</x:f>
      </x:c>
      <x:c r="S209" s="21" t="n">
        <x:f t="shared" si="5">IF(R209=1,Q209,0)</x:f>
        <x:v>0</x:v>
      </x:c>
      <x:c r="T209" s="15"/>
      <x:c r="U209" s="15"/>
      <x:c r="V209" s="15"/>
      <x:c r="W209" s="15"/>
      <x:c r="X209" s="15"/>
      <x:c r="Y209" s="15"/>
      <x:c r="Z209" s="14"/>
    </x:row>
    <x:row r="210" ht="14.399999618530273" customHeight="1">
      <x:c r="A210" s="14"/>
      <x:c r="B210" s="14"/>
      <x:c r="C210" s="14"/>
      <x:c r="D210" s="14"/>
      <x:c r="E210" s="14"/>
      <x:c r="F210" s="14"/>
      <x:c r="G210" s="14"/>
      <x:c r="H210" s="14"/>
      <x:c r="I210" s="14"/>
      <x:c r="J210" s="14"/>
      <x:c r="K210" s="14"/>
      <x:c r="L210" s="14"/>
      <x:c r="M210" s="14"/>
      <x:c r="N210" s="93" t="n">
        <x:f>'Registro de vuelos'!A211</x:f>
        <x:v>0</x:v>
      </x:c>
      <x:c r="O210" s="15" t="n">
        <x:f>'Registro de vuelos'!C211</x:f>
        <x:v>0</x:v>
      </x:c>
      <x:c r="P210" s="15" t="n">
        <x:f>'Registro de vuelos'!E211</x:f>
        <x:v>0</x:v>
      </x:c>
      <x:c r="Q210" s="21" t="n">
        <x:f>'Registro de vuelos'!F211</x:f>
        <x:v>0</x:v>
      </x:c>
      <x:c r="R210" s="21" t="str">
        <x:f>IF(N210="","",IF(AND(COUNTIFS($N$3:$N$502,N210,$O$3:$O$502,O210,$P$3:$P$502,P210,$Q$3:$Q$502,"&gt;"&amp;Q210)=0,COUNTIFS($N$3:N210,N210,$O$3:O210,O210,$P$3:P210,P210,$Q$3:Q210,Q210)=1),1,0))</x:f>
      </x:c>
      <x:c r="S210" s="21" t="n">
        <x:f t="shared" si="5">IF(R210=1,Q210,0)</x:f>
        <x:v>0</x:v>
      </x:c>
      <x:c r="T210" s="15"/>
      <x:c r="U210" s="15"/>
      <x:c r="V210" s="15"/>
      <x:c r="W210" s="15"/>
      <x:c r="X210" s="15"/>
      <x:c r="Y210" s="15"/>
      <x:c r="Z210" s="14"/>
    </x:row>
    <x:row r="211" ht="14.399999618530273" customHeight="1">
      <x:c r="A211" s="14"/>
      <x:c r="B211" s="14"/>
      <x:c r="C211" s="14"/>
      <x:c r="D211" s="14"/>
      <x:c r="E211" s="14"/>
      <x:c r="F211" s="14"/>
      <x:c r="G211" s="14"/>
      <x:c r="H211" s="14"/>
      <x:c r="I211" s="14"/>
      <x:c r="J211" s="14"/>
      <x:c r="K211" s="14"/>
      <x:c r="L211" s="14"/>
      <x:c r="M211" s="14"/>
      <x:c r="N211" s="93" t="n">
        <x:f>'Registro de vuelos'!A212</x:f>
        <x:v>0</x:v>
      </x:c>
      <x:c r="O211" s="15" t="n">
        <x:f>'Registro de vuelos'!C212</x:f>
        <x:v>0</x:v>
      </x:c>
      <x:c r="P211" s="15" t="n">
        <x:f>'Registro de vuelos'!E212</x:f>
        <x:v>0</x:v>
      </x:c>
      <x:c r="Q211" s="21" t="n">
        <x:f>'Registro de vuelos'!F212</x:f>
        <x:v>0</x:v>
      </x:c>
      <x:c r="R211" s="21" t="str">
        <x:f>IF(N211="","",IF(AND(COUNTIFS($N$3:$N$502,N211,$O$3:$O$502,O211,$P$3:$P$502,P211,$Q$3:$Q$502,"&gt;"&amp;Q211)=0,COUNTIFS($N$3:N211,N211,$O$3:O211,O211,$P$3:P211,P211,$Q$3:Q211,Q211)=1),1,0))</x:f>
      </x:c>
      <x:c r="S211" s="21" t="n">
        <x:f t="shared" si="5">IF(R211=1,Q211,0)</x:f>
        <x:v>0</x:v>
      </x:c>
      <x:c r="T211" s="15"/>
      <x:c r="U211" s="15"/>
      <x:c r="V211" s="15"/>
      <x:c r="W211" s="15"/>
      <x:c r="X211" s="15"/>
      <x:c r="Y211" s="15"/>
      <x:c r="Z211" s="14"/>
    </x:row>
    <x:row r="212" ht="14.399999618530273" customHeight="1">
      <x:c r="A212" s="14"/>
      <x:c r="B212" s="14"/>
      <x:c r="C212" s="14"/>
      <x:c r="D212" s="14"/>
      <x:c r="E212" s="14"/>
      <x:c r="F212" s="14"/>
      <x:c r="G212" s="14"/>
      <x:c r="H212" s="14"/>
      <x:c r="I212" s="14"/>
      <x:c r="J212" s="14"/>
      <x:c r="K212" s="14"/>
      <x:c r="L212" s="14"/>
      <x:c r="M212" s="14"/>
      <x:c r="N212" s="93" t="n">
        <x:f>'Registro de vuelos'!A213</x:f>
        <x:v>0</x:v>
      </x:c>
      <x:c r="O212" s="15" t="n">
        <x:f>'Registro de vuelos'!C213</x:f>
        <x:v>0</x:v>
      </x:c>
      <x:c r="P212" s="15" t="n">
        <x:f>'Registro de vuelos'!E213</x:f>
        <x:v>0</x:v>
      </x:c>
      <x:c r="Q212" s="21" t="n">
        <x:f>'Registro de vuelos'!F213</x:f>
        <x:v>0</x:v>
      </x:c>
      <x:c r="R212" s="21" t="str">
        <x:f>IF(N212="","",IF(AND(COUNTIFS($N$3:$N$502,N212,$O$3:$O$502,O212,$P$3:$P$502,P212,$Q$3:$Q$502,"&gt;"&amp;Q212)=0,COUNTIFS($N$3:N212,N212,$O$3:O212,O212,$P$3:P212,P212,$Q$3:Q212,Q212)=1),1,0))</x:f>
      </x:c>
      <x:c r="S212" s="21" t="n">
        <x:f t="shared" si="5">IF(R212=1,Q212,0)</x:f>
        <x:v>0</x:v>
      </x:c>
      <x:c r="T212" s="15"/>
      <x:c r="U212" s="15"/>
      <x:c r="V212" s="15"/>
      <x:c r="W212" s="15"/>
      <x:c r="X212" s="15"/>
      <x:c r="Y212" s="15"/>
      <x:c r="Z212" s="14"/>
    </x:row>
    <x:row r="213" ht="14.399999618530273" customHeight="1">
      <x:c r="A213" s="14"/>
      <x:c r="B213" s="14"/>
      <x:c r="C213" s="14"/>
      <x:c r="D213" s="14"/>
      <x:c r="E213" s="14"/>
      <x:c r="F213" s="14"/>
      <x:c r="G213" s="14"/>
      <x:c r="H213" s="14"/>
      <x:c r="I213" s="14"/>
      <x:c r="J213" s="14"/>
      <x:c r="K213" s="14"/>
      <x:c r="L213" s="14"/>
      <x:c r="M213" s="14"/>
      <x:c r="N213" s="93" t="n">
        <x:f>'Registro de vuelos'!A214</x:f>
        <x:v>0</x:v>
      </x:c>
      <x:c r="O213" s="15" t="n">
        <x:f>'Registro de vuelos'!C214</x:f>
        <x:v>0</x:v>
      </x:c>
      <x:c r="P213" s="15" t="n">
        <x:f>'Registro de vuelos'!E214</x:f>
        <x:v>0</x:v>
      </x:c>
      <x:c r="Q213" s="21" t="n">
        <x:f>'Registro de vuelos'!F214</x:f>
        <x:v>0</x:v>
      </x:c>
      <x:c r="R213" s="21" t="str">
        <x:f>IF(N213="","",IF(AND(COUNTIFS($N$3:$N$502,N213,$O$3:$O$502,O213,$P$3:$P$502,P213,$Q$3:$Q$502,"&gt;"&amp;Q213)=0,COUNTIFS($N$3:N213,N213,$O$3:O213,O213,$P$3:P213,P213,$Q$3:Q213,Q213)=1),1,0))</x:f>
      </x:c>
      <x:c r="S213" s="21" t="n">
        <x:f t="shared" si="5">IF(R213=1,Q213,0)</x:f>
        <x:v>0</x:v>
      </x:c>
      <x:c r="T213" s="15"/>
      <x:c r="U213" s="15"/>
      <x:c r="V213" s="15"/>
      <x:c r="W213" s="15"/>
      <x:c r="X213" s="15"/>
      <x:c r="Y213" s="15"/>
      <x:c r="Z213" s="14"/>
    </x:row>
    <x:row r="214" ht="14.399999618530273" customHeight="1">
      <x:c r="A214" s="14"/>
      <x:c r="B214" s="14"/>
      <x:c r="C214" s="14"/>
      <x:c r="D214" s="14"/>
      <x:c r="E214" s="14"/>
      <x:c r="F214" s="14"/>
      <x:c r="G214" s="14"/>
      <x:c r="H214" s="14"/>
      <x:c r="I214" s="14"/>
      <x:c r="J214" s="14"/>
      <x:c r="K214" s="14"/>
      <x:c r="L214" s="14"/>
      <x:c r="M214" s="14"/>
      <x:c r="N214" s="93" t="n">
        <x:f>'Registro de vuelos'!A215</x:f>
        <x:v>0</x:v>
      </x:c>
      <x:c r="O214" s="15" t="n">
        <x:f>'Registro de vuelos'!C215</x:f>
        <x:v>0</x:v>
      </x:c>
      <x:c r="P214" s="15" t="n">
        <x:f>'Registro de vuelos'!E215</x:f>
        <x:v>0</x:v>
      </x:c>
      <x:c r="Q214" s="21" t="n">
        <x:f>'Registro de vuelos'!F215</x:f>
        <x:v>0</x:v>
      </x:c>
      <x:c r="R214" s="21" t="str">
        <x:f>IF(N214="","",IF(AND(COUNTIFS($N$3:$N$502,N214,$O$3:$O$502,O214,$P$3:$P$502,P214,$Q$3:$Q$502,"&gt;"&amp;Q214)=0,COUNTIFS($N$3:N214,N214,$O$3:O214,O214,$P$3:P214,P214,$Q$3:Q214,Q214)=1),1,0))</x:f>
      </x:c>
      <x:c r="S214" s="21" t="n">
        <x:f t="shared" si="5">IF(R214=1,Q214,0)</x:f>
        <x:v>0</x:v>
      </x:c>
      <x:c r="T214" s="15"/>
      <x:c r="U214" s="15"/>
      <x:c r="V214" s="15"/>
      <x:c r="W214" s="15"/>
      <x:c r="X214" s="15"/>
      <x:c r="Y214" s="15"/>
      <x:c r="Z214" s="14"/>
    </x:row>
    <x:row r="215" ht="14.399999618530273" customHeight="1">
      <x:c r="A215" s="14"/>
      <x:c r="B215" s="14"/>
      <x:c r="C215" s="14"/>
      <x:c r="D215" s="14"/>
      <x:c r="E215" s="14"/>
      <x:c r="F215" s="14"/>
      <x:c r="G215" s="14"/>
      <x:c r="H215" s="14"/>
      <x:c r="I215" s="14"/>
      <x:c r="J215" s="14"/>
      <x:c r="K215" s="14"/>
      <x:c r="L215" s="14"/>
      <x:c r="M215" s="14"/>
      <x:c r="N215" s="93" t="n">
        <x:f>'Registro de vuelos'!A216</x:f>
        <x:v>0</x:v>
      </x:c>
      <x:c r="O215" s="15" t="n">
        <x:f>'Registro de vuelos'!C216</x:f>
        <x:v>0</x:v>
      </x:c>
      <x:c r="P215" s="15" t="n">
        <x:f>'Registro de vuelos'!E216</x:f>
        <x:v>0</x:v>
      </x:c>
      <x:c r="Q215" s="21" t="n">
        <x:f>'Registro de vuelos'!F216</x:f>
        <x:v>0</x:v>
      </x:c>
      <x:c r="R215" s="21" t="str">
        <x:f>IF(N215="","",IF(AND(COUNTIFS($N$3:$N$502,N215,$O$3:$O$502,O215,$P$3:$P$502,P215,$Q$3:$Q$502,"&gt;"&amp;Q215)=0,COUNTIFS($N$3:N215,N215,$O$3:O215,O215,$P$3:P215,P215,$Q$3:Q215,Q215)=1),1,0))</x:f>
      </x:c>
      <x:c r="S215" s="21" t="n">
        <x:f t="shared" si="5">IF(R215=1,Q215,0)</x:f>
        <x:v>0</x:v>
      </x:c>
      <x:c r="T215" s="15"/>
      <x:c r="U215" s="15"/>
      <x:c r="V215" s="15"/>
      <x:c r="W215" s="15"/>
      <x:c r="X215" s="15"/>
      <x:c r="Y215" s="15"/>
      <x:c r="Z215" s="14"/>
    </x:row>
    <x:row r="216" ht="14.399999618530273" customHeight="1">
      <x:c r="A216" s="14"/>
      <x:c r="B216" s="14"/>
      <x:c r="C216" s="14"/>
      <x:c r="D216" s="14"/>
      <x:c r="E216" s="14"/>
      <x:c r="F216" s="14"/>
      <x:c r="G216" s="14"/>
      <x:c r="H216" s="14"/>
      <x:c r="I216" s="14"/>
      <x:c r="J216" s="14"/>
      <x:c r="K216" s="14"/>
      <x:c r="L216" s="14"/>
      <x:c r="M216" s="14"/>
      <x:c r="N216" s="93" t="n">
        <x:f>'Registro de vuelos'!A217</x:f>
        <x:v>0</x:v>
      </x:c>
      <x:c r="O216" s="15" t="n">
        <x:f>'Registro de vuelos'!C217</x:f>
        <x:v>0</x:v>
      </x:c>
      <x:c r="P216" s="15" t="n">
        <x:f>'Registro de vuelos'!E217</x:f>
        <x:v>0</x:v>
      </x:c>
      <x:c r="Q216" s="21" t="n">
        <x:f>'Registro de vuelos'!F217</x:f>
        <x:v>0</x:v>
      </x:c>
      <x:c r="R216" s="21" t="str">
        <x:f>IF(N216="","",IF(AND(COUNTIFS($N$3:$N$502,N216,$O$3:$O$502,O216,$P$3:$P$502,P216,$Q$3:$Q$502,"&gt;"&amp;Q216)=0,COUNTIFS($N$3:N216,N216,$O$3:O216,O216,$P$3:P216,P216,$Q$3:Q216,Q216)=1),1,0))</x:f>
      </x:c>
      <x:c r="S216" s="21" t="n">
        <x:f t="shared" si="5">IF(R216=1,Q216,0)</x:f>
        <x:v>0</x:v>
      </x:c>
      <x:c r="T216" s="15"/>
      <x:c r="U216" s="15"/>
      <x:c r="V216" s="15"/>
      <x:c r="W216" s="15"/>
      <x:c r="X216" s="15"/>
      <x:c r="Y216" s="15"/>
      <x:c r="Z216" s="14"/>
    </x:row>
    <x:row r="217" ht="14.399999618530273" customHeight="1">
      <x:c r="A217" s="14"/>
      <x:c r="B217" s="14"/>
      <x:c r="C217" s="14"/>
      <x:c r="D217" s="14"/>
      <x:c r="E217" s="14"/>
      <x:c r="F217" s="14"/>
      <x:c r="G217" s="14"/>
      <x:c r="H217" s="14"/>
      <x:c r="I217" s="14"/>
      <x:c r="J217" s="14"/>
      <x:c r="K217" s="14"/>
      <x:c r="L217" s="14"/>
      <x:c r="M217" s="14"/>
      <x:c r="N217" s="93" t="n">
        <x:f>'Registro de vuelos'!A218</x:f>
        <x:v>0</x:v>
      </x:c>
      <x:c r="O217" s="15" t="n">
        <x:f>'Registro de vuelos'!C218</x:f>
        <x:v>0</x:v>
      </x:c>
      <x:c r="P217" s="15" t="n">
        <x:f>'Registro de vuelos'!E218</x:f>
        <x:v>0</x:v>
      </x:c>
      <x:c r="Q217" s="21" t="n">
        <x:f>'Registro de vuelos'!F218</x:f>
        <x:v>0</x:v>
      </x:c>
      <x:c r="R217" s="21" t="str">
        <x:f>IF(N217="","",IF(AND(COUNTIFS($N$3:$N$502,N217,$O$3:$O$502,O217,$P$3:$P$502,P217,$Q$3:$Q$502,"&gt;"&amp;Q217)=0,COUNTIFS($N$3:N217,N217,$O$3:O217,O217,$P$3:P217,P217,$Q$3:Q217,Q217)=1),1,0))</x:f>
      </x:c>
      <x:c r="S217" s="21" t="n">
        <x:f t="shared" si="5">IF(R217=1,Q217,0)</x:f>
        <x:v>0</x:v>
      </x:c>
      <x:c r="T217" s="15"/>
      <x:c r="U217" s="15"/>
      <x:c r="V217" s="15"/>
      <x:c r="W217" s="15"/>
      <x:c r="X217" s="15"/>
      <x:c r="Y217" s="15"/>
      <x:c r="Z217" s="14"/>
    </x:row>
    <x:row r="218" ht="14.399999618530273" customHeight="1">
      <x:c r="A218" s="14"/>
      <x:c r="B218" s="14"/>
      <x:c r="C218" s="14"/>
      <x:c r="D218" s="14"/>
      <x:c r="E218" s="14"/>
      <x:c r="F218" s="14"/>
      <x:c r="G218" s="14"/>
      <x:c r="H218" s="14"/>
      <x:c r="I218" s="14"/>
      <x:c r="J218" s="14"/>
      <x:c r="K218" s="14"/>
      <x:c r="L218" s="14"/>
      <x:c r="M218" s="14"/>
      <x:c r="N218" s="93" t="n">
        <x:f>'Registro de vuelos'!A219</x:f>
        <x:v>0</x:v>
      </x:c>
      <x:c r="O218" s="15" t="n">
        <x:f>'Registro de vuelos'!C219</x:f>
        <x:v>0</x:v>
      </x:c>
      <x:c r="P218" s="15" t="n">
        <x:f>'Registro de vuelos'!E219</x:f>
        <x:v>0</x:v>
      </x:c>
      <x:c r="Q218" s="21" t="n">
        <x:f>'Registro de vuelos'!F219</x:f>
        <x:v>0</x:v>
      </x:c>
      <x:c r="R218" s="21" t="str">
        <x:f>IF(N218="","",IF(AND(COUNTIFS($N$3:$N$502,N218,$O$3:$O$502,O218,$P$3:$P$502,P218,$Q$3:$Q$502,"&gt;"&amp;Q218)=0,COUNTIFS($N$3:N218,N218,$O$3:O218,O218,$P$3:P218,P218,$Q$3:Q218,Q218)=1),1,0))</x:f>
      </x:c>
      <x:c r="S218" s="21" t="n">
        <x:f t="shared" si="5">IF(R218=1,Q218,0)</x:f>
        <x:v>0</x:v>
      </x:c>
      <x:c r="T218" s="15"/>
      <x:c r="U218" s="15"/>
      <x:c r="V218" s="15"/>
      <x:c r="W218" s="15"/>
      <x:c r="X218" s="15"/>
      <x:c r="Y218" s="15"/>
      <x:c r="Z218" s="14"/>
    </x:row>
    <x:row r="219" ht="14.399999618530273" customHeight="1">
      <x:c r="A219" s="14"/>
      <x:c r="B219" s="14"/>
      <x:c r="C219" s="14"/>
      <x:c r="D219" s="14"/>
      <x:c r="E219" s="14"/>
      <x:c r="F219" s="14"/>
      <x:c r="G219" s="14"/>
      <x:c r="H219" s="14"/>
      <x:c r="I219" s="14"/>
      <x:c r="J219" s="14"/>
      <x:c r="K219" s="14"/>
      <x:c r="L219" s="14"/>
      <x:c r="M219" s="14"/>
      <x:c r="N219" s="93" t="n">
        <x:f>'Registro de vuelos'!A220</x:f>
        <x:v>0</x:v>
      </x:c>
      <x:c r="O219" s="15" t="n">
        <x:f>'Registro de vuelos'!C220</x:f>
        <x:v>0</x:v>
      </x:c>
      <x:c r="P219" s="15" t="n">
        <x:f>'Registro de vuelos'!E220</x:f>
        <x:v>0</x:v>
      </x:c>
      <x:c r="Q219" s="21" t="n">
        <x:f>'Registro de vuelos'!F220</x:f>
        <x:v>0</x:v>
      </x:c>
      <x:c r="R219" s="21" t="str">
        <x:f>IF(N219="","",IF(AND(COUNTIFS($N$3:$N$502,N219,$O$3:$O$502,O219,$P$3:$P$502,P219,$Q$3:$Q$502,"&gt;"&amp;Q219)=0,COUNTIFS($N$3:N219,N219,$O$3:O219,O219,$P$3:P219,P219,$Q$3:Q219,Q219)=1),1,0))</x:f>
      </x:c>
      <x:c r="S219" s="21" t="n">
        <x:f t="shared" si="5">IF(R219=1,Q219,0)</x:f>
        <x:v>0</x:v>
      </x:c>
      <x:c r="T219" s="15"/>
      <x:c r="U219" s="15"/>
      <x:c r="V219" s="15"/>
      <x:c r="W219" s="15"/>
      <x:c r="X219" s="15"/>
      <x:c r="Y219" s="15"/>
      <x:c r="Z219" s="14"/>
    </x:row>
    <x:row r="220" ht="14.399999618530273" customHeight="1">
      <x:c r="A220" s="14"/>
      <x:c r="B220" s="14"/>
      <x:c r="C220" s="14"/>
      <x:c r="D220" s="14"/>
      <x:c r="E220" s="14"/>
      <x:c r="F220" s="14"/>
      <x:c r="G220" s="14"/>
      <x:c r="H220" s="14"/>
      <x:c r="I220" s="14"/>
      <x:c r="J220" s="14"/>
      <x:c r="K220" s="14"/>
      <x:c r="L220" s="14"/>
      <x:c r="M220" s="14"/>
      <x:c r="N220" s="93" t="n">
        <x:f>'Registro de vuelos'!A221</x:f>
        <x:v>0</x:v>
      </x:c>
      <x:c r="O220" s="15" t="n">
        <x:f>'Registro de vuelos'!C221</x:f>
        <x:v>0</x:v>
      </x:c>
      <x:c r="P220" s="15" t="n">
        <x:f>'Registro de vuelos'!E221</x:f>
        <x:v>0</x:v>
      </x:c>
      <x:c r="Q220" s="21" t="n">
        <x:f>'Registro de vuelos'!F221</x:f>
        <x:v>0</x:v>
      </x:c>
      <x:c r="R220" s="21" t="str">
        <x:f>IF(N220="","",IF(AND(COUNTIFS($N$3:$N$502,N220,$O$3:$O$502,O220,$P$3:$P$502,P220,$Q$3:$Q$502,"&gt;"&amp;Q220)=0,COUNTIFS($N$3:N220,N220,$O$3:O220,O220,$P$3:P220,P220,$Q$3:Q220,Q220)=1),1,0))</x:f>
      </x:c>
      <x:c r="S220" s="21" t="n">
        <x:f t="shared" si="5">IF(R220=1,Q220,0)</x:f>
        <x:v>0</x:v>
      </x:c>
      <x:c r="T220" s="15"/>
      <x:c r="U220" s="15"/>
      <x:c r="V220" s="15"/>
      <x:c r="W220" s="15"/>
      <x:c r="X220" s="15"/>
      <x:c r="Y220" s="15"/>
      <x:c r="Z220" s="14"/>
    </x:row>
    <x:row r="221" ht="14.399999618530273" customHeight="1">
      <x:c r="A221" s="14"/>
      <x:c r="B221" s="14"/>
      <x:c r="C221" s="14"/>
      <x:c r="D221" s="14"/>
      <x:c r="E221" s="14"/>
      <x:c r="F221" s="14"/>
      <x:c r="G221" s="14"/>
      <x:c r="H221" s="14"/>
      <x:c r="I221" s="14"/>
      <x:c r="J221" s="14"/>
      <x:c r="K221" s="14"/>
      <x:c r="L221" s="14"/>
      <x:c r="M221" s="14"/>
      <x:c r="N221" s="93" t="n">
        <x:f>'Registro de vuelos'!A222</x:f>
        <x:v>0</x:v>
      </x:c>
      <x:c r="O221" s="15" t="n">
        <x:f>'Registro de vuelos'!C222</x:f>
        <x:v>0</x:v>
      </x:c>
      <x:c r="P221" s="15" t="n">
        <x:f>'Registro de vuelos'!E222</x:f>
        <x:v>0</x:v>
      </x:c>
      <x:c r="Q221" s="21" t="n">
        <x:f>'Registro de vuelos'!F222</x:f>
        <x:v>0</x:v>
      </x:c>
      <x:c r="R221" s="21" t="str">
        <x:f>IF(N221="","",IF(AND(COUNTIFS($N$3:$N$502,N221,$O$3:$O$502,O221,$P$3:$P$502,P221,$Q$3:$Q$502,"&gt;"&amp;Q221)=0,COUNTIFS($N$3:N221,N221,$O$3:O221,O221,$P$3:P221,P221,$Q$3:Q221,Q221)=1),1,0))</x:f>
      </x:c>
      <x:c r="S221" s="21" t="n">
        <x:f t="shared" si="5">IF(R221=1,Q221,0)</x:f>
        <x:v>0</x:v>
      </x:c>
      <x:c r="T221" s="15"/>
      <x:c r="U221" s="15"/>
      <x:c r="V221" s="15"/>
      <x:c r="W221" s="15"/>
      <x:c r="X221" s="15"/>
      <x:c r="Y221" s="15"/>
      <x:c r="Z221" s="14"/>
    </x:row>
    <x:row r="222" ht="14.399999618530273" customHeight="1">
      <x:c r="A222" s="14"/>
      <x:c r="B222" s="14"/>
      <x:c r="C222" s="14"/>
      <x:c r="D222" s="14"/>
      <x:c r="E222" s="14"/>
      <x:c r="F222" s="14"/>
      <x:c r="G222" s="14"/>
      <x:c r="H222" s="14"/>
      <x:c r="I222" s="14"/>
      <x:c r="J222" s="14"/>
      <x:c r="K222" s="14"/>
      <x:c r="L222" s="14"/>
      <x:c r="M222" s="14"/>
      <x:c r="N222" s="93" t="n">
        <x:f>'Registro de vuelos'!A223</x:f>
        <x:v>0</x:v>
      </x:c>
      <x:c r="O222" s="15" t="n">
        <x:f>'Registro de vuelos'!C223</x:f>
        <x:v>0</x:v>
      </x:c>
      <x:c r="P222" s="15" t="n">
        <x:f>'Registro de vuelos'!E223</x:f>
        <x:v>0</x:v>
      </x:c>
      <x:c r="Q222" s="21" t="n">
        <x:f>'Registro de vuelos'!F223</x:f>
        <x:v>0</x:v>
      </x:c>
      <x:c r="R222" s="21" t="str">
        <x:f>IF(N222="","",IF(AND(COUNTIFS($N$3:$N$502,N222,$O$3:$O$502,O222,$P$3:$P$502,P222,$Q$3:$Q$502,"&gt;"&amp;Q222)=0,COUNTIFS($N$3:N222,N222,$O$3:O222,O222,$P$3:P222,P222,$Q$3:Q222,Q222)=1),1,0))</x:f>
      </x:c>
      <x:c r="S222" s="21" t="n">
        <x:f t="shared" si="5">IF(R222=1,Q222,0)</x:f>
        <x:v>0</x:v>
      </x:c>
      <x:c r="T222" s="15"/>
      <x:c r="U222" s="15"/>
      <x:c r="V222" s="15"/>
      <x:c r="W222" s="15"/>
      <x:c r="X222" s="15"/>
      <x:c r="Y222" s="15"/>
      <x:c r="Z222" s="14"/>
    </x:row>
    <x:row r="223" ht="14.399999618530273" customHeight="1">
      <x:c r="A223" s="14"/>
      <x:c r="B223" s="14"/>
      <x:c r="C223" s="14"/>
      <x:c r="D223" s="14"/>
      <x:c r="E223" s="14"/>
      <x:c r="F223" s="14"/>
      <x:c r="G223" s="14"/>
      <x:c r="H223" s="14"/>
      <x:c r="I223" s="14"/>
      <x:c r="J223" s="14"/>
      <x:c r="K223" s="14"/>
      <x:c r="L223" s="14"/>
      <x:c r="M223" s="14"/>
      <x:c r="N223" s="93" t="n">
        <x:f>'Registro de vuelos'!A224</x:f>
        <x:v>0</x:v>
      </x:c>
      <x:c r="O223" s="15" t="n">
        <x:f>'Registro de vuelos'!C224</x:f>
        <x:v>0</x:v>
      </x:c>
      <x:c r="P223" s="15" t="n">
        <x:f>'Registro de vuelos'!E224</x:f>
        <x:v>0</x:v>
      </x:c>
      <x:c r="Q223" s="21" t="n">
        <x:f>'Registro de vuelos'!F224</x:f>
        <x:v>0</x:v>
      </x:c>
      <x:c r="R223" s="21" t="str">
        <x:f>IF(N223="","",IF(AND(COUNTIFS($N$3:$N$502,N223,$O$3:$O$502,O223,$P$3:$P$502,P223,$Q$3:$Q$502,"&gt;"&amp;Q223)=0,COUNTIFS($N$3:N223,N223,$O$3:O223,O223,$P$3:P223,P223,$Q$3:Q223,Q223)=1),1,0))</x:f>
      </x:c>
      <x:c r="S223" s="21" t="n">
        <x:f t="shared" si="5">IF(R223=1,Q223,0)</x:f>
        <x:v>0</x:v>
      </x:c>
      <x:c r="T223" s="15"/>
      <x:c r="U223" s="15"/>
      <x:c r="V223" s="15"/>
      <x:c r="W223" s="15"/>
      <x:c r="X223" s="15"/>
      <x:c r="Y223" s="15"/>
      <x:c r="Z223" s="14"/>
    </x:row>
    <x:row r="224" ht="14.399999618530273" customHeight="1">
      <x:c r="A224" s="14"/>
      <x:c r="B224" s="14"/>
      <x:c r="C224" s="14"/>
      <x:c r="D224" s="14"/>
      <x:c r="E224" s="14"/>
      <x:c r="F224" s="14"/>
      <x:c r="G224" s="14"/>
      <x:c r="H224" s="14"/>
      <x:c r="I224" s="14"/>
      <x:c r="J224" s="14"/>
      <x:c r="K224" s="14"/>
      <x:c r="L224" s="14"/>
      <x:c r="M224" s="14"/>
      <x:c r="N224" s="93" t="n">
        <x:f>'Registro de vuelos'!A225</x:f>
        <x:v>0</x:v>
      </x:c>
      <x:c r="O224" s="15" t="n">
        <x:f>'Registro de vuelos'!C225</x:f>
        <x:v>0</x:v>
      </x:c>
      <x:c r="P224" s="15" t="n">
        <x:f>'Registro de vuelos'!E225</x:f>
        <x:v>0</x:v>
      </x:c>
      <x:c r="Q224" s="21" t="n">
        <x:f>'Registro de vuelos'!F225</x:f>
        <x:v>0</x:v>
      </x:c>
      <x:c r="R224" s="21" t="str">
        <x:f>IF(N224="","",IF(AND(COUNTIFS($N$3:$N$502,N224,$O$3:$O$502,O224,$P$3:$P$502,P224,$Q$3:$Q$502,"&gt;"&amp;Q224)=0,COUNTIFS($N$3:N224,N224,$O$3:O224,O224,$P$3:P224,P224,$Q$3:Q224,Q224)=1),1,0))</x:f>
      </x:c>
      <x:c r="S224" s="21" t="n">
        <x:f t="shared" si="5">IF(R224=1,Q224,0)</x:f>
        <x:v>0</x:v>
      </x:c>
      <x:c r="T224" s="15"/>
      <x:c r="U224" s="15"/>
      <x:c r="V224" s="15"/>
      <x:c r="W224" s="15"/>
      <x:c r="X224" s="15"/>
      <x:c r="Y224" s="15"/>
      <x:c r="Z224" s="14"/>
    </x:row>
    <x:row r="225" ht="14.399999618530273" customHeight="1">
      <x:c r="A225" s="14"/>
      <x:c r="B225" s="14"/>
      <x:c r="C225" s="14"/>
      <x:c r="D225" s="14"/>
      <x:c r="E225" s="14"/>
      <x:c r="F225" s="14"/>
      <x:c r="G225" s="14"/>
      <x:c r="H225" s="14"/>
      <x:c r="I225" s="14"/>
      <x:c r="J225" s="14"/>
      <x:c r="K225" s="14"/>
      <x:c r="L225" s="14"/>
      <x:c r="M225" s="14"/>
      <x:c r="N225" s="93" t="n">
        <x:f>'Registro de vuelos'!A226</x:f>
        <x:v>0</x:v>
      </x:c>
      <x:c r="O225" s="15" t="n">
        <x:f>'Registro de vuelos'!C226</x:f>
        <x:v>0</x:v>
      </x:c>
      <x:c r="P225" s="15" t="n">
        <x:f>'Registro de vuelos'!E226</x:f>
        <x:v>0</x:v>
      </x:c>
      <x:c r="Q225" s="21" t="n">
        <x:f>'Registro de vuelos'!F226</x:f>
        <x:v>0</x:v>
      </x:c>
      <x:c r="R225" s="21" t="str">
        <x:f>IF(N225="","",IF(AND(COUNTIFS($N$3:$N$502,N225,$O$3:$O$502,O225,$P$3:$P$502,P225,$Q$3:$Q$502,"&gt;"&amp;Q225)=0,COUNTIFS($N$3:N225,N225,$O$3:O225,O225,$P$3:P225,P225,$Q$3:Q225,Q225)=1),1,0))</x:f>
      </x:c>
      <x:c r="S225" s="21" t="n">
        <x:f t="shared" si="5">IF(R225=1,Q225,0)</x:f>
        <x:v>0</x:v>
      </x:c>
      <x:c r="T225" s="15"/>
      <x:c r="U225" s="15"/>
      <x:c r="V225" s="15"/>
      <x:c r="W225" s="15"/>
      <x:c r="X225" s="15"/>
      <x:c r="Y225" s="15"/>
      <x:c r="Z225" s="14"/>
    </x:row>
    <x:row r="226" ht="14.399999618530273" customHeight="1">
      <x:c r="A226" s="14"/>
      <x:c r="B226" s="14"/>
      <x:c r="C226" s="14"/>
      <x:c r="D226" s="14"/>
      <x:c r="E226" s="14"/>
      <x:c r="F226" s="14"/>
      <x:c r="G226" s="14"/>
      <x:c r="H226" s="14"/>
      <x:c r="I226" s="14"/>
      <x:c r="J226" s="14"/>
      <x:c r="K226" s="14"/>
      <x:c r="L226" s="14"/>
      <x:c r="M226" s="14"/>
      <x:c r="N226" s="93" t="n">
        <x:f>'Registro de vuelos'!A227</x:f>
        <x:v>0</x:v>
      </x:c>
      <x:c r="O226" s="15" t="n">
        <x:f>'Registro de vuelos'!C227</x:f>
        <x:v>0</x:v>
      </x:c>
      <x:c r="P226" s="15" t="n">
        <x:f>'Registro de vuelos'!E227</x:f>
        <x:v>0</x:v>
      </x:c>
      <x:c r="Q226" s="21" t="n">
        <x:f>'Registro de vuelos'!F227</x:f>
        <x:v>0</x:v>
      </x:c>
      <x:c r="R226" s="21" t="str">
        <x:f>IF(N226="","",IF(AND(COUNTIFS($N$3:$N$502,N226,$O$3:$O$502,O226,$P$3:$P$502,P226,$Q$3:$Q$502,"&gt;"&amp;Q226)=0,COUNTIFS($N$3:N226,N226,$O$3:O226,O226,$P$3:P226,P226,$Q$3:Q226,Q226)=1),1,0))</x:f>
      </x:c>
      <x:c r="S226" s="21" t="n">
        <x:f t="shared" si="5">IF(R226=1,Q226,0)</x:f>
        <x:v>0</x:v>
      </x:c>
      <x:c r="T226" s="15"/>
      <x:c r="U226" s="15"/>
      <x:c r="V226" s="15"/>
      <x:c r="W226" s="15"/>
      <x:c r="X226" s="15"/>
      <x:c r="Y226" s="15"/>
      <x:c r="Z226" s="14"/>
    </x:row>
    <x:row r="227" ht="14.399999618530273" customHeight="1">
      <x:c r="A227" s="14"/>
      <x:c r="B227" s="14"/>
      <x:c r="C227" s="14"/>
      <x:c r="D227" s="14"/>
      <x:c r="E227" s="14"/>
      <x:c r="F227" s="14"/>
      <x:c r="G227" s="14"/>
      <x:c r="H227" s="14"/>
      <x:c r="I227" s="14"/>
      <x:c r="J227" s="14"/>
      <x:c r="K227" s="14"/>
      <x:c r="L227" s="14"/>
      <x:c r="M227" s="14"/>
      <x:c r="N227" s="93" t="n">
        <x:f>'Registro de vuelos'!A228</x:f>
        <x:v>0</x:v>
      </x:c>
      <x:c r="O227" s="15" t="n">
        <x:f>'Registro de vuelos'!C228</x:f>
        <x:v>0</x:v>
      </x:c>
      <x:c r="P227" s="15" t="n">
        <x:f>'Registro de vuelos'!E228</x:f>
        <x:v>0</x:v>
      </x:c>
      <x:c r="Q227" s="21" t="n">
        <x:f>'Registro de vuelos'!F228</x:f>
        <x:v>0</x:v>
      </x:c>
      <x:c r="R227" s="21" t="str">
        <x:f>IF(N227="","",IF(AND(COUNTIFS($N$3:$N$502,N227,$O$3:$O$502,O227,$P$3:$P$502,P227,$Q$3:$Q$502,"&gt;"&amp;Q227)=0,COUNTIFS($N$3:N227,N227,$O$3:O227,O227,$P$3:P227,P227,$Q$3:Q227,Q227)=1),1,0))</x:f>
      </x:c>
      <x:c r="S227" s="21" t="n">
        <x:f t="shared" si="5">IF(R227=1,Q227,0)</x:f>
        <x:v>0</x:v>
      </x:c>
      <x:c r="T227" s="15"/>
      <x:c r="U227" s="15"/>
      <x:c r="V227" s="15"/>
      <x:c r="W227" s="15"/>
      <x:c r="X227" s="15"/>
      <x:c r="Y227" s="15"/>
      <x:c r="Z227" s="14"/>
    </x:row>
    <x:row r="228" ht="14.399999618530273" customHeight="1">
      <x:c r="A228" s="14"/>
      <x:c r="B228" s="14"/>
      <x:c r="C228" s="14"/>
      <x:c r="D228" s="14"/>
      <x:c r="E228" s="14"/>
      <x:c r="F228" s="14"/>
      <x:c r="G228" s="14"/>
      <x:c r="H228" s="14"/>
      <x:c r="I228" s="14"/>
      <x:c r="J228" s="14"/>
      <x:c r="K228" s="14"/>
      <x:c r="L228" s="14"/>
      <x:c r="M228" s="14"/>
      <x:c r="N228" s="93" t="n">
        <x:f>'Registro de vuelos'!A229</x:f>
        <x:v>0</x:v>
      </x:c>
      <x:c r="O228" s="15" t="n">
        <x:f>'Registro de vuelos'!C229</x:f>
        <x:v>0</x:v>
      </x:c>
      <x:c r="P228" s="15" t="n">
        <x:f>'Registro de vuelos'!E229</x:f>
        <x:v>0</x:v>
      </x:c>
      <x:c r="Q228" s="21" t="n">
        <x:f>'Registro de vuelos'!F229</x:f>
        <x:v>0</x:v>
      </x:c>
      <x:c r="R228" s="21" t="str">
        <x:f>IF(N228="","",IF(AND(COUNTIFS($N$3:$N$502,N228,$O$3:$O$502,O228,$P$3:$P$502,P228,$Q$3:$Q$502,"&gt;"&amp;Q228)=0,COUNTIFS($N$3:N228,N228,$O$3:O228,O228,$P$3:P228,P228,$Q$3:Q228,Q228)=1),1,0))</x:f>
      </x:c>
      <x:c r="S228" s="21" t="n">
        <x:f t="shared" si="5">IF(R228=1,Q228,0)</x:f>
        <x:v>0</x:v>
      </x:c>
      <x:c r="T228" s="15"/>
      <x:c r="U228" s="15"/>
      <x:c r="V228" s="15"/>
      <x:c r="W228" s="15"/>
      <x:c r="X228" s="15"/>
      <x:c r="Y228" s="15"/>
      <x:c r="Z228" s="14"/>
    </x:row>
    <x:row r="229" ht="14.399999618530273" customHeight="1">
      <x:c r="A229" s="14"/>
      <x:c r="B229" s="14"/>
      <x:c r="C229" s="14"/>
      <x:c r="D229" s="14"/>
      <x:c r="E229" s="14"/>
      <x:c r="F229" s="14"/>
      <x:c r="G229" s="14"/>
      <x:c r="H229" s="14"/>
      <x:c r="I229" s="14"/>
      <x:c r="J229" s="14"/>
      <x:c r="K229" s="14"/>
      <x:c r="L229" s="14"/>
      <x:c r="M229" s="14"/>
      <x:c r="N229" s="93" t="n">
        <x:f>'Registro de vuelos'!A230</x:f>
        <x:v>0</x:v>
      </x:c>
      <x:c r="O229" s="15" t="n">
        <x:f>'Registro de vuelos'!C230</x:f>
        <x:v>0</x:v>
      </x:c>
      <x:c r="P229" s="15" t="n">
        <x:f>'Registro de vuelos'!E230</x:f>
        <x:v>0</x:v>
      </x:c>
      <x:c r="Q229" s="21" t="n">
        <x:f>'Registro de vuelos'!F230</x:f>
        <x:v>0</x:v>
      </x:c>
      <x:c r="R229" s="21" t="str">
        <x:f>IF(N229="","",IF(AND(COUNTIFS($N$3:$N$502,N229,$O$3:$O$502,O229,$P$3:$P$502,P229,$Q$3:$Q$502,"&gt;"&amp;Q229)=0,COUNTIFS($N$3:N229,N229,$O$3:O229,O229,$P$3:P229,P229,$Q$3:Q229,Q229)=1),1,0))</x:f>
      </x:c>
      <x:c r="S229" s="21" t="n">
        <x:f t="shared" si="5">IF(R229=1,Q229,0)</x:f>
        <x:v>0</x:v>
      </x:c>
      <x:c r="T229" s="15"/>
      <x:c r="U229" s="15"/>
      <x:c r="V229" s="15"/>
      <x:c r="W229" s="15"/>
      <x:c r="X229" s="15"/>
      <x:c r="Y229" s="15"/>
      <x:c r="Z229" s="14"/>
    </x:row>
    <x:row r="230" ht="14.399999618530273" customHeight="1">
      <x:c r="A230" s="14"/>
      <x:c r="B230" s="14"/>
      <x:c r="C230" s="14"/>
      <x:c r="D230" s="14"/>
      <x:c r="E230" s="14"/>
      <x:c r="F230" s="14"/>
      <x:c r="G230" s="14"/>
      <x:c r="H230" s="14"/>
      <x:c r="I230" s="14"/>
      <x:c r="J230" s="14"/>
      <x:c r="K230" s="14"/>
      <x:c r="L230" s="14"/>
      <x:c r="M230" s="14"/>
      <x:c r="N230" s="93" t="n">
        <x:f>'Registro de vuelos'!A231</x:f>
        <x:v>0</x:v>
      </x:c>
      <x:c r="O230" s="15" t="n">
        <x:f>'Registro de vuelos'!C231</x:f>
        <x:v>0</x:v>
      </x:c>
      <x:c r="P230" s="15" t="n">
        <x:f>'Registro de vuelos'!E231</x:f>
        <x:v>0</x:v>
      </x:c>
      <x:c r="Q230" s="21" t="n">
        <x:f>'Registro de vuelos'!F231</x:f>
        <x:v>0</x:v>
      </x:c>
      <x:c r="R230" s="21" t="str">
        <x:f>IF(N230="","",IF(AND(COUNTIFS($N$3:$N$502,N230,$O$3:$O$502,O230,$P$3:$P$502,P230,$Q$3:$Q$502,"&gt;"&amp;Q230)=0,COUNTIFS($N$3:N230,N230,$O$3:O230,O230,$P$3:P230,P230,$Q$3:Q230,Q230)=1),1,0))</x:f>
      </x:c>
      <x:c r="S230" s="21" t="n">
        <x:f t="shared" si="5">IF(R230=1,Q230,0)</x:f>
        <x:v>0</x:v>
      </x:c>
      <x:c r="T230" s="15"/>
      <x:c r="U230" s="15"/>
      <x:c r="V230" s="15"/>
      <x:c r="W230" s="15"/>
      <x:c r="X230" s="15"/>
      <x:c r="Y230" s="15"/>
      <x:c r="Z230" s="14"/>
    </x:row>
    <x:row r="231" ht="14.399999618530273" customHeight="1">
      <x:c r="A231" s="14"/>
      <x:c r="B231" s="14"/>
      <x:c r="C231" s="14"/>
      <x:c r="D231" s="14"/>
      <x:c r="E231" s="14"/>
      <x:c r="F231" s="14"/>
      <x:c r="G231" s="14"/>
      <x:c r="H231" s="14"/>
      <x:c r="I231" s="14"/>
      <x:c r="J231" s="14"/>
      <x:c r="K231" s="14"/>
      <x:c r="L231" s="14"/>
      <x:c r="M231" s="14"/>
      <x:c r="N231" s="93" t="n">
        <x:f>'Registro de vuelos'!A232</x:f>
        <x:v>0</x:v>
      </x:c>
      <x:c r="O231" s="15" t="n">
        <x:f>'Registro de vuelos'!C232</x:f>
        <x:v>0</x:v>
      </x:c>
      <x:c r="P231" s="15" t="n">
        <x:f>'Registro de vuelos'!E232</x:f>
        <x:v>0</x:v>
      </x:c>
      <x:c r="Q231" s="21" t="n">
        <x:f>'Registro de vuelos'!F232</x:f>
        <x:v>0</x:v>
      </x:c>
      <x:c r="R231" s="21" t="str">
        <x:f>IF(N231="","",IF(AND(COUNTIFS($N$3:$N$502,N231,$O$3:$O$502,O231,$P$3:$P$502,P231,$Q$3:$Q$502,"&gt;"&amp;Q231)=0,COUNTIFS($N$3:N231,N231,$O$3:O231,O231,$P$3:P231,P231,$Q$3:Q231,Q231)=1),1,0))</x:f>
      </x:c>
      <x:c r="S231" s="21" t="n">
        <x:f t="shared" si="5">IF(R231=1,Q231,0)</x:f>
        <x:v>0</x:v>
      </x:c>
      <x:c r="T231" s="15"/>
      <x:c r="U231" s="15"/>
      <x:c r="V231" s="15"/>
      <x:c r="W231" s="15"/>
      <x:c r="X231" s="15"/>
      <x:c r="Y231" s="15"/>
      <x:c r="Z231" s="14"/>
    </x:row>
    <x:row r="232" ht="14.399999618530273" customHeight="1">
      <x:c r="A232" s="14"/>
      <x:c r="B232" s="14"/>
      <x:c r="C232" s="14"/>
      <x:c r="D232" s="14"/>
      <x:c r="E232" s="14"/>
      <x:c r="F232" s="14"/>
      <x:c r="G232" s="14"/>
      <x:c r="H232" s="14"/>
      <x:c r="I232" s="14"/>
      <x:c r="J232" s="14"/>
      <x:c r="K232" s="14"/>
      <x:c r="L232" s="14"/>
      <x:c r="M232" s="14"/>
      <x:c r="N232" s="93" t="n">
        <x:f>'Registro de vuelos'!A233</x:f>
        <x:v>0</x:v>
      </x:c>
      <x:c r="O232" s="15" t="n">
        <x:f>'Registro de vuelos'!C233</x:f>
        <x:v>0</x:v>
      </x:c>
      <x:c r="P232" s="15" t="n">
        <x:f>'Registro de vuelos'!E233</x:f>
        <x:v>0</x:v>
      </x:c>
      <x:c r="Q232" s="21" t="n">
        <x:f>'Registro de vuelos'!F233</x:f>
        <x:v>0</x:v>
      </x:c>
      <x:c r="R232" s="21" t="str">
        <x:f>IF(N232="","",IF(AND(COUNTIFS($N$3:$N$502,N232,$O$3:$O$502,O232,$P$3:$P$502,P232,$Q$3:$Q$502,"&gt;"&amp;Q232)=0,COUNTIFS($N$3:N232,N232,$O$3:O232,O232,$P$3:P232,P232,$Q$3:Q232,Q232)=1),1,0))</x:f>
      </x:c>
      <x:c r="S232" s="21" t="n">
        <x:f t="shared" si="5">IF(R232=1,Q232,0)</x:f>
        <x:v>0</x:v>
      </x:c>
      <x:c r="T232" s="15"/>
      <x:c r="U232" s="15"/>
      <x:c r="V232" s="15"/>
      <x:c r="W232" s="15"/>
      <x:c r="X232" s="15"/>
      <x:c r="Y232" s="15"/>
      <x:c r="Z232" s="14"/>
    </x:row>
    <x:row r="233" ht="14.399999618530273" customHeight="1">
      <x:c r="A233" s="14"/>
      <x:c r="B233" s="14"/>
      <x:c r="C233" s="14"/>
      <x:c r="D233" s="14"/>
      <x:c r="E233" s="14"/>
      <x:c r="F233" s="14"/>
      <x:c r="G233" s="14"/>
      <x:c r="H233" s="14"/>
      <x:c r="I233" s="14"/>
      <x:c r="J233" s="14"/>
      <x:c r="K233" s="14"/>
      <x:c r="L233" s="14"/>
      <x:c r="M233" s="14"/>
      <x:c r="N233" s="93" t="n">
        <x:f>'Registro de vuelos'!A234</x:f>
        <x:v>0</x:v>
      </x:c>
      <x:c r="O233" s="15" t="n">
        <x:f>'Registro de vuelos'!C234</x:f>
        <x:v>0</x:v>
      </x:c>
      <x:c r="P233" s="15" t="n">
        <x:f>'Registro de vuelos'!E234</x:f>
        <x:v>0</x:v>
      </x:c>
      <x:c r="Q233" s="21" t="n">
        <x:f>'Registro de vuelos'!F234</x:f>
        <x:v>0</x:v>
      </x:c>
      <x:c r="R233" s="21" t="str">
        <x:f>IF(N233="","",IF(AND(COUNTIFS($N$3:$N$502,N233,$O$3:$O$502,O233,$P$3:$P$502,P233,$Q$3:$Q$502,"&gt;"&amp;Q233)=0,COUNTIFS($N$3:N233,N233,$O$3:O233,O233,$P$3:P233,P233,$Q$3:Q233,Q233)=1),1,0))</x:f>
      </x:c>
      <x:c r="S233" s="21" t="n">
        <x:f t="shared" si="5">IF(R233=1,Q233,0)</x:f>
        <x:v>0</x:v>
      </x:c>
      <x:c r="T233" s="15"/>
      <x:c r="U233" s="15"/>
      <x:c r="V233" s="15"/>
      <x:c r="W233" s="15"/>
      <x:c r="X233" s="15"/>
      <x:c r="Y233" s="15"/>
      <x:c r="Z233" s="14"/>
    </x:row>
    <x:row r="234" ht="14.399999618530273" customHeight="1">
      <x:c r="A234" s="14"/>
      <x:c r="B234" s="14"/>
      <x:c r="C234" s="14"/>
      <x:c r="D234" s="14"/>
      <x:c r="E234" s="14"/>
      <x:c r="F234" s="14"/>
      <x:c r="G234" s="14"/>
      <x:c r="H234" s="14"/>
      <x:c r="I234" s="14"/>
      <x:c r="J234" s="14"/>
      <x:c r="K234" s="14"/>
      <x:c r="L234" s="14"/>
      <x:c r="M234" s="14"/>
      <x:c r="N234" s="93" t="n">
        <x:f>'Registro de vuelos'!A235</x:f>
        <x:v>0</x:v>
      </x:c>
      <x:c r="O234" s="15" t="n">
        <x:f>'Registro de vuelos'!C235</x:f>
        <x:v>0</x:v>
      </x:c>
      <x:c r="P234" s="15" t="n">
        <x:f>'Registro de vuelos'!E235</x:f>
        <x:v>0</x:v>
      </x:c>
      <x:c r="Q234" s="21" t="n">
        <x:f>'Registro de vuelos'!F235</x:f>
        <x:v>0</x:v>
      </x:c>
      <x:c r="R234" s="21" t="str">
        <x:f>IF(N234="","",IF(AND(COUNTIFS($N$3:$N$502,N234,$O$3:$O$502,O234,$P$3:$P$502,P234,$Q$3:$Q$502,"&gt;"&amp;Q234)=0,COUNTIFS($N$3:N234,N234,$O$3:O234,O234,$P$3:P234,P234,$Q$3:Q234,Q234)=1),1,0))</x:f>
      </x:c>
      <x:c r="S234" s="21" t="n">
        <x:f t="shared" si="5">IF(R234=1,Q234,0)</x:f>
        <x:v>0</x:v>
      </x:c>
      <x:c r="T234" s="15"/>
      <x:c r="U234" s="15"/>
      <x:c r="V234" s="15"/>
      <x:c r="W234" s="15"/>
      <x:c r="X234" s="15"/>
      <x:c r="Y234" s="15"/>
      <x:c r="Z234" s="14"/>
    </x:row>
    <x:row r="235" ht="14.399999618530273" customHeight="1">
      <x:c r="A235" s="14"/>
      <x:c r="B235" s="14"/>
      <x:c r="C235" s="14"/>
      <x:c r="D235" s="14"/>
      <x:c r="E235" s="14"/>
      <x:c r="F235" s="14"/>
      <x:c r="G235" s="14"/>
      <x:c r="H235" s="14"/>
      <x:c r="I235" s="14"/>
      <x:c r="J235" s="14"/>
      <x:c r="K235" s="14"/>
      <x:c r="L235" s="14"/>
      <x:c r="M235" s="14"/>
      <x:c r="N235" s="93" t="n">
        <x:f>'Registro de vuelos'!A236</x:f>
        <x:v>0</x:v>
      </x:c>
      <x:c r="O235" s="15" t="n">
        <x:f>'Registro de vuelos'!C236</x:f>
        <x:v>0</x:v>
      </x:c>
      <x:c r="P235" s="15" t="n">
        <x:f>'Registro de vuelos'!E236</x:f>
        <x:v>0</x:v>
      </x:c>
      <x:c r="Q235" s="21" t="n">
        <x:f>'Registro de vuelos'!F236</x:f>
        <x:v>0</x:v>
      </x:c>
      <x:c r="R235" s="21" t="str">
        <x:f>IF(N235="","",IF(AND(COUNTIFS($N$3:$N$502,N235,$O$3:$O$502,O235,$P$3:$P$502,P235,$Q$3:$Q$502,"&gt;"&amp;Q235)=0,COUNTIFS($N$3:N235,N235,$O$3:O235,O235,$P$3:P235,P235,$Q$3:Q235,Q235)=1),1,0))</x:f>
      </x:c>
      <x:c r="S235" s="21" t="n">
        <x:f t="shared" si="5">IF(R235=1,Q235,0)</x:f>
        <x:v>0</x:v>
      </x:c>
      <x:c r="T235" s="15"/>
      <x:c r="U235" s="15"/>
      <x:c r="V235" s="15"/>
      <x:c r="W235" s="15"/>
      <x:c r="X235" s="15"/>
      <x:c r="Y235" s="15"/>
      <x:c r="Z235" s="14"/>
    </x:row>
    <x:row r="236" ht="14.399999618530273" customHeight="1">
      <x:c r="A236" s="14"/>
      <x:c r="B236" s="14"/>
      <x:c r="C236" s="14"/>
      <x:c r="D236" s="14"/>
      <x:c r="E236" s="14"/>
      <x:c r="F236" s="14"/>
      <x:c r="G236" s="14"/>
      <x:c r="H236" s="14"/>
      <x:c r="I236" s="14"/>
      <x:c r="J236" s="14"/>
      <x:c r="K236" s="14"/>
      <x:c r="L236" s="14"/>
      <x:c r="M236" s="14"/>
      <x:c r="N236" s="93" t="n">
        <x:f>'Registro de vuelos'!A237</x:f>
        <x:v>0</x:v>
      </x:c>
      <x:c r="O236" s="15" t="n">
        <x:f>'Registro de vuelos'!C237</x:f>
        <x:v>0</x:v>
      </x:c>
      <x:c r="P236" s="15" t="n">
        <x:f>'Registro de vuelos'!E237</x:f>
        <x:v>0</x:v>
      </x:c>
      <x:c r="Q236" s="21" t="n">
        <x:f>'Registro de vuelos'!F237</x:f>
        <x:v>0</x:v>
      </x:c>
      <x:c r="R236" s="21" t="str">
        <x:f>IF(N236="","",IF(AND(COUNTIFS($N$3:$N$502,N236,$O$3:$O$502,O236,$P$3:$P$502,P236,$Q$3:$Q$502,"&gt;"&amp;Q236)=0,COUNTIFS($N$3:N236,N236,$O$3:O236,O236,$P$3:P236,P236,$Q$3:Q236,Q236)=1),1,0))</x:f>
      </x:c>
      <x:c r="S236" s="21" t="n">
        <x:f t="shared" si="5">IF(R236=1,Q236,0)</x:f>
        <x:v>0</x:v>
      </x:c>
      <x:c r="T236" s="15"/>
      <x:c r="U236" s="15"/>
      <x:c r="V236" s="15"/>
      <x:c r="W236" s="15"/>
      <x:c r="X236" s="15"/>
      <x:c r="Y236" s="15"/>
      <x:c r="Z236" s="14"/>
    </x:row>
    <x:row r="237" ht="14.399999618530273" customHeight="1">
      <x:c r="A237" s="14"/>
      <x:c r="B237" s="14"/>
      <x:c r="C237" s="14"/>
      <x:c r="D237" s="14"/>
      <x:c r="E237" s="14"/>
      <x:c r="F237" s="14"/>
      <x:c r="G237" s="14"/>
      <x:c r="H237" s="14"/>
      <x:c r="I237" s="14"/>
      <x:c r="J237" s="14"/>
      <x:c r="K237" s="14"/>
      <x:c r="L237" s="14"/>
      <x:c r="M237" s="14"/>
      <x:c r="N237" s="93" t="n">
        <x:f>'Registro de vuelos'!A238</x:f>
        <x:v>0</x:v>
      </x:c>
      <x:c r="O237" s="15" t="n">
        <x:f>'Registro de vuelos'!C238</x:f>
        <x:v>0</x:v>
      </x:c>
      <x:c r="P237" s="15" t="n">
        <x:f>'Registro de vuelos'!E238</x:f>
        <x:v>0</x:v>
      </x:c>
      <x:c r="Q237" s="21" t="n">
        <x:f>'Registro de vuelos'!F238</x:f>
        <x:v>0</x:v>
      </x:c>
      <x:c r="R237" s="21" t="str">
        <x:f>IF(N237="","",IF(AND(COUNTIFS($N$3:$N$502,N237,$O$3:$O$502,O237,$P$3:$P$502,P237,$Q$3:$Q$502,"&gt;"&amp;Q237)=0,COUNTIFS($N$3:N237,N237,$O$3:O237,O237,$P$3:P237,P237,$Q$3:Q237,Q237)=1),1,0))</x:f>
      </x:c>
      <x:c r="S237" s="21" t="n">
        <x:f t="shared" si="5">IF(R237=1,Q237,0)</x:f>
        <x:v>0</x:v>
      </x:c>
      <x:c r="T237" s="15"/>
      <x:c r="U237" s="15"/>
      <x:c r="V237" s="15"/>
      <x:c r="W237" s="15"/>
      <x:c r="X237" s="15"/>
      <x:c r="Y237" s="15"/>
      <x:c r="Z237" s="14"/>
    </x:row>
    <x:row r="238" ht="14.399999618530273" customHeight="1">
      <x:c r="A238" s="14"/>
      <x:c r="B238" s="14"/>
      <x:c r="C238" s="14"/>
      <x:c r="D238" s="14"/>
      <x:c r="E238" s="14"/>
      <x:c r="F238" s="14"/>
      <x:c r="G238" s="14"/>
      <x:c r="H238" s="14"/>
      <x:c r="I238" s="14"/>
      <x:c r="J238" s="14"/>
      <x:c r="K238" s="14"/>
      <x:c r="L238" s="14"/>
      <x:c r="M238" s="14"/>
      <x:c r="N238" s="93" t="n">
        <x:f>'Registro de vuelos'!A239</x:f>
        <x:v>0</x:v>
      </x:c>
      <x:c r="O238" s="15" t="n">
        <x:f>'Registro de vuelos'!C239</x:f>
        <x:v>0</x:v>
      </x:c>
      <x:c r="P238" s="15" t="n">
        <x:f>'Registro de vuelos'!E239</x:f>
        <x:v>0</x:v>
      </x:c>
      <x:c r="Q238" s="21" t="n">
        <x:f>'Registro de vuelos'!F239</x:f>
        <x:v>0</x:v>
      </x:c>
      <x:c r="R238" s="21" t="str">
        <x:f>IF(N238="","",IF(AND(COUNTIFS($N$3:$N$502,N238,$O$3:$O$502,O238,$P$3:$P$502,P238,$Q$3:$Q$502,"&gt;"&amp;Q238)=0,COUNTIFS($N$3:N238,N238,$O$3:O238,O238,$P$3:P238,P238,$Q$3:Q238,Q238)=1),1,0))</x:f>
      </x:c>
      <x:c r="S238" s="21" t="n">
        <x:f t="shared" si="5">IF(R238=1,Q238,0)</x:f>
        <x:v>0</x:v>
      </x:c>
      <x:c r="T238" s="15"/>
      <x:c r="U238" s="15"/>
      <x:c r="V238" s="15"/>
      <x:c r="W238" s="15"/>
      <x:c r="X238" s="15"/>
      <x:c r="Y238" s="15"/>
      <x:c r="Z238" s="14"/>
    </x:row>
    <x:row r="239" ht="14.399999618530273" customHeight="1">
      <x:c r="A239" s="14"/>
      <x:c r="B239" s="14"/>
      <x:c r="C239" s="14"/>
      <x:c r="D239" s="14"/>
      <x:c r="E239" s="14"/>
      <x:c r="F239" s="14"/>
      <x:c r="G239" s="14"/>
      <x:c r="H239" s="14"/>
      <x:c r="I239" s="14"/>
      <x:c r="J239" s="14"/>
      <x:c r="K239" s="14"/>
      <x:c r="L239" s="14"/>
      <x:c r="M239" s="14"/>
      <x:c r="N239" s="93" t="n">
        <x:f>'Registro de vuelos'!A240</x:f>
        <x:v>0</x:v>
      </x:c>
      <x:c r="O239" s="15" t="n">
        <x:f>'Registro de vuelos'!C240</x:f>
        <x:v>0</x:v>
      </x:c>
      <x:c r="P239" s="15" t="n">
        <x:f>'Registro de vuelos'!E240</x:f>
        <x:v>0</x:v>
      </x:c>
      <x:c r="Q239" s="21" t="n">
        <x:f>'Registro de vuelos'!F240</x:f>
        <x:v>0</x:v>
      </x:c>
      <x:c r="R239" s="21" t="str">
        <x:f>IF(N239="","",IF(AND(COUNTIFS($N$3:$N$502,N239,$O$3:$O$502,O239,$P$3:$P$502,P239,$Q$3:$Q$502,"&gt;"&amp;Q239)=0,COUNTIFS($N$3:N239,N239,$O$3:O239,O239,$P$3:P239,P239,$Q$3:Q239,Q239)=1),1,0))</x:f>
      </x:c>
      <x:c r="S239" s="21" t="n">
        <x:f t="shared" si="5">IF(R239=1,Q239,0)</x:f>
        <x:v>0</x:v>
      </x:c>
      <x:c r="T239" s="15"/>
      <x:c r="U239" s="15"/>
      <x:c r="V239" s="15"/>
      <x:c r="W239" s="15"/>
      <x:c r="X239" s="15"/>
      <x:c r="Y239" s="15"/>
      <x:c r="Z239" s="14"/>
    </x:row>
    <x:row r="240" ht="14.399999618530273" customHeight="1">
      <x:c r="A240" s="14"/>
      <x:c r="B240" s="14"/>
      <x:c r="C240" s="14"/>
      <x:c r="D240" s="14"/>
      <x:c r="E240" s="14"/>
      <x:c r="F240" s="14"/>
      <x:c r="G240" s="14"/>
      <x:c r="H240" s="14"/>
      <x:c r="I240" s="14"/>
      <x:c r="J240" s="14"/>
      <x:c r="K240" s="14"/>
      <x:c r="L240" s="14"/>
      <x:c r="M240" s="14"/>
      <x:c r="N240" s="93" t="n">
        <x:f>'Registro de vuelos'!A241</x:f>
        <x:v>0</x:v>
      </x:c>
      <x:c r="O240" s="15" t="n">
        <x:f>'Registro de vuelos'!C241</x:f>
        <x:v>0</x:v>
      </x:c>
      <x:c r="P240" s="15" t="n">
        <x:f>'Registro de vuelos'!E241</x:f>
        <x:v>0</x:v>
      </x:c>
      <x:c r="Q240" s="21" t="n">
        <x:f>'Registro de vuelos'!F241</x:f>
        <x:v>0</x:v>
      </x:c>
      <x:c r="R240" s="21" t="str">
        <x:f>IF(N240="","",IF(AND(COUNTIFS($N$3:$N$502,N240,$O$3:$O$502,O240,$P$3:$P$502,P240,$Q$3:$Q$502,"&gt;"&amp;Q240)=0,COUNTIFS($N$3:N240,N240,$O$3:O240,O240,$P$3:P240,P240,$Q$3:Q240,Q240)=1),1,0))</x:f>
      </x:c>
      <x:c r="S240" s="21" t="n">
        <x:f t="shared" si="5">IF(R240=1,Q240,0)</x:f>
        <x:v>0</x:v>
      </x:c>
      <x:c r="T240" s="15"/>
      <x:c r="U240" s="15"/>
      <x:c r="V240" s="15"/>
      <x:c r="W240" s="15"/>
      <x:c r="X240" s="15"/>
      <x:c r="Y240" s="15"/>
      <x:c r="Z240" s="14"/>
    </x:row>
    <x:row r="241" ht="14.399999618530273" customHeight="1">
      <x:c r="A241" s="14"/>
      <x:c r="B241" s="14"/>
      <x:c r="C241" s="14"/>
      <x:c r="D241" s="14"/>
      <x:c r="E241" s="14"/>
      <x:c r="F241" s="14"/>
      <x:c r="G241" s="14"/>
      <x:c r="H241" s="14"/>
      <x:c r="I241" s="14"/>
      <x:c r="J241" s="14"/>
      <x:c r="K241" s="14"/>
      <x:c r="L241" s="14"/>
      <x:c r="M241" s="14"/>
      <x:c r="N241" s="93" t="n">
        <x:f>'Registro de vuelos'!A242</x:f>
        <x:v>0</x:v>
      </x:c>
      <x:c r="O241" s="15" t="n">
        <x:f>'Registro de vuelos'!C242</x:f>
        <x:v>0</x:v>
      </x:c>
      <x:c r="P241" s="15" t="n">
        <x:f>'Registro de vuelos'!E242</x:f>
        <x:v>0</x:v>
      </x:c>
      <x:c r="Q241" s="21" t="n">
        <x:f>'Registro de vuelos'!F242</x:f>
        <x:v>0</x:v>
      </x:c>
      <x:c r="R241" s="21" t="str">
        <x:f>IF(N241="","",IF(AND(COUNTIFS($N$3:$N$502,N241,$O$3:$O$502,O241,$P$3:$P$502,P241,$Q$3:$Q$502,"&gt;"&amp;Q241)=0,COUNTIFS($N$3:N241,N241,$O$3:O241,O241,$P$3:P241,P241,$Q$3:Q241,Q241)=1),1,0))</x:f>
      </x:c>
      <x:c r="S241" s="21" t="n">
        <x:f t="shared" si="5">IF(R241=1,Q241,0)</x:f>
        <x:v>0</x:v>
      </x:c>
      <x:c r="T241" s="15"/>
      <x:c r="U241" s="15"/>
      <x:c r="V241" s="15"/>
      <x:c r="W241" s="15"/>
      <x:c r="X241" s="15"/>
      <x:c r="Y241" s="15"/>
      <x:c r="Z241" s="14"/>
    </x:row>
    <x:row r="242" ht="14.399999618530273" customHeight="1">
      <x:c r="A242" s="14"/>
      <x:c r="B242" s="14"/>
      <x:c r="C242" s="14"/>
      <x:c r="D242" s="14"/>
      <x:c r="E242" s="14"/>
      <x:c r="F242" s="14"/>
      <x:c r="G242" s="14"/>
      <x:c r="H242" s="14"/>
      <x:c r="I242" s="14"/>
      <x:c r="J242" s="14"/>
      <x:c r="K242" s="14"/>
      <x:c r="L242" s="14"/>
      <x:c r="M242" s="14"/>
      <x:c r="N242" s="93" t="n">
        <x:f>'Registro de vuelos'!A243</x:f>
        <x:v>0</x:v>
      </x:c>
      <x:c r="O242" s="15" t="n">
        <x:f>'Registro de vuelos'!C243</x:f>
        <x:v>0</x:v>
      </x:c>
      <x:c r="P242" s="15" t="n">
        <x:f>'Registro de vuelos'!E243</x:f>
        <x:v>0</x:v>
      </x:c>
      <x:c r="Q242" s="21" t="n">
        <x:f>'Registro de vuelos'!F243</x:f>
        <x:v>0</x:v>
      </x:c>
      <x:c r="R242" s="21" t="str">
        <x:f>IF(N242="","",IF(AND(COUNTIFS($N$3:$N$502,N242,$O$3:$O$502,O242,$P$3:$P$502,P242,$Q$3:$Q$502,"&gt;"&amp;Q242)=0,COUNTIFS($N$3:N242,N242,$O$3:O242,O242,$P$3:P242,P242,$Q$3:Q242,Q242)=1),1,0))</x:f>
      </x:c>
      <x:c r="S242" s="21" t="n">
        <x:f t="shared" si="5">IF(R242=1,Q242,0)</x:f>
        <x:v>0</x:v>
      </x:c>
      <x:c r="T242" s="15"/>
      <x:c r="U242" s="15"/>
      <x:c r="V242" s="15"/>
      <x:c r="W242" s="15"/>
      <x:c r="X242" s="15"/>
      <x:c r="Y242" s="15"/>
      <x:c r="Z242" s="14"/>
    </x:row>
    <x:row r="243" ht="14.399999618530273" customHeight="1">
      <x:c r="A243" s="14"/>
      <x:c r="B243" s="14"/>
      <x:c r="C243" s="14"/>
      <x:c r="D243" s="14"/>
      <x:c r="E243" s="14"/>
      <x:c r="F243" s="14"/>
      <x:c r="G243" s="14"/>
      <x:c r="H243" s="14"/>
      <x:c r="I243" s="14"/>
      <x:c r="J243" s="14"/>
      <x:c r="K243" s="14"/>
      <x:c r="L243" s="14"/>
      <x:c r="M243" s="14"/>
      <x:c r="N243" s="93" t="n">
        <x:f>'Registro de vuelos'!A244</x:f>
        <x:v>0</x:v>
      </x:c>
      <x:c r="O243" s="15" t="n">
        <x:f>'Registro de vuelos'!C244</x:f>
        <x:v>0</x:v>
      </x:c>
      <x:c r="P243" s="15" t="n">
        <x:f>'Registro de vuelos'!E244</x:f>
        <x:v>0</x:v>
      </x:c>
      <x:c r="Q243" s="21" t="n">
        <x:f>'Registro de vuelos'!F244</x:f>
        <x:v>0</x:v>
      </x:c>
      <x:c r="R243" s="21" t="str">
        <x:f>IF(N243="","",IF(AND(COUNTIFS($N$3:$N$502,N243,$O$3:$O$502,O243,$P$3:$P$502,P243,$Q$3:$Q$502,"&gt;"&amp;Q243)=0,COUNTIFS($N$3:N243,N243,$O$3:O243,O243,$P$3:P243,P243,$Q$3:Q243,Q243)=1),1,0))</x:f>
      </x:c>
      <x:c r="S243" s="21" t="n">
        <x:f t="shared" si="5">IF(R243=1,Q243,0)</x:f>
        <x:v>0</x:v>
      </x:c>
      <x:c r="T243" s="15"/>
      <x:c r="U243" s="15"/>
      <x:c r="V243" s="15"/>
      <x:c r="W243" s="15"/>
      <x:c r="X243" s="15"/>
      <x:c r="Y243" s="15"/>
      <x:c r="Z243" s="14"/>
    </x:row>
    <x:row r="244" ht="14.399999618530273" customHeight="1">
      <x:c r="A244" s="14"/>
      <x:c r="B244" s="14"/>
      <x:c r="C244" s="14"/>
      <x:c r="D244" s="14"/>
      <x:c r="E244" s="14"/>
      <x:c r="F244" s="14"/>
      <x:c r="G244" s="14"/>
      <x:c r="H244" s="14"/>
      <x:c r="I244" s="14"/>
      <x:c r="J244" s="14"/>
      <x:c r="K244" s="14"/>
      <x:c r="L244" s="14"/>
      <x:c r="M244" s="14"/>
      <x:c r="N244" s="93" t="n">
        <x:f>'Registro de vuelos'!A245</x:f>
        <x:v>0</x:v>
      </x:c>
      <x:c r="O244" s="15" t="n">
        <x:f>'Registro de vuelos'!C245</x:f>
        <x:v>0</x:v>
      </x:c>
      <x:c r="P244" s="15" t="n">
        <x:f>'Registro de vuelos'!E245</x:f>
        <x:v>0</x:v>
      </x:c>
      <x:c r="Q244" s="21" t="n">
        <x:f>'Registro de vuelos'!F245</x:f>
        <x:v>0</x:v>
      </x:c>
      <x:c r="R244" s="21" t="str">
        <x:f>IF(N244="","",IF(AND(COUNTIFS($N$3:$N$502,N244,$O$3:$O$502,O244,$P$3:$P$502,P244,$Q$3:$Q$502,"&gt;"&amp;Q244)=0,COUNTIFS($N$3:N244,N244,$O$3:O244,O244,$P$3:P244,P244,$Q$3:Q244,Q244)=1),1,0))</x:f>
      </x:c>
      <x:c r="S244" s="21" t="n">
        <x:f t="shared" si="5">IF(R244=1,Q244,0)</x:f>
        <x:v>0</x:v>
      </x:c>
      <x:c r="T244" s="15"/>
      <x:c r="U244" s="15"/>
      <x:c r="V244" s="15"/>
      <x:c r="W244" s="15"/>
      <x:c r="X244" s="15"/>
      <x:c r="Y244" s="15"/>
      <x:c r="Z244" s="14"/>
    </x:row>
    <x:row r="245" ht="14.399999618530273" customHeight="1">
      <x:c r="A245" s="14"/>
      <x:c r="B245" s="14"/>
      <x:c r="C245" s="14"/>
      <x:c r="D245" s="14"/>
      <x:c r="E245" s="14"/>
      <x:c r="F245" s="14"/>
      <x:c r="G245" s="14"/>
      <x:c r="H245" s="14"/>
      <x:c r="I245" s="14"/>
      <x:c r="J245" s="14"/>
      <x:c r="K245" s="14"/>
      <x:c r="L245" s="14"/>
      <x:c r="M245" s="14"/>
      <x:c r="N245" s="93" t="n">
        <x:f>'Registro de vuelos'!A246</x:f>
        <x:v>0</x:v>
      </x:c>
      <x:c r="O245" s="15" t="n">
        <x:f>'Registro de vuelos'!C246</x:f>
        <x:v>0</x:v>
      </x:c>
      <x:c r="P245" s="15" t="n">
        <x:f>'Registro de vuelos'!E246</x:f>
        <x:v>0</x:v>
      </x:c>
      <x:c r="Q245" s="21" t="n">
        <x:f>'Registro de vuelos'!F246</x:f>
        <x:v>0</x:v>
      </x:c>
      <x:c r="R245" s="21" t="str">
        <x:f>IF(N245="","",IF(AND(COUNTIFS($N$3:$N$502,N245,$O$3:$O$502,O245,$P$3:$P$502,P245,$Q$3:$Q$502,"&gt;"&amp;Q245)=0,COUNTIFS($N$3:N245,N245,$O$3:O245,O245,$P$3:P245,P245,$Q$3:Q245,Q245)=1),1,0))</x:f>
      </x:c>
      <x:c r="S245" s="21" t="n">
        <x:f t="shared" si="5">IF(R245=1,Q245,0)</x:f>
        <x:v>0</x:v>
      </x:c>
      <x:c r="T245" s="15"/>
      <x:c r="U245" s="15"/>
      <x:c r="V245" s="15"/>
      <x:c r="W245" s="15"/>
      <x:c r="X245" s="15"/>
      <x:c r="Y245" s="15"/>
      <x:c r="Z245" s="14"/>
    </x:row>
    <x:row r="246" ht="14.399999618530273" customHeight="1">
      <x:c r="A246" s="14"/>
      <x:c r="B246" s="14"/>
      <x:c r="C246" s="14"/>
      <x:c r="D246" s="14"/>
      <x:c r="E246" s="14"/>
      <x:c r="F246" s="14"/>
      <x:c r="G246" s="14"/>
      <x:c r="H246" s="14"/>
      <x:c r="I246" s="14"/>
      <x:c r="J246" s="14"/>
      <x:c r="K246" s="14"/>
      <x:c r="L246" s="14"/>
      <x:c r="M246" s="14"/>
      <x:c r="N246" s="93" t="n">
        <x:f>'Registro de vuelos'!A247</x:f>
        <x:v>0</x:v>
      </x:c>
      <x:c r="O246" s="15" t="n">
        <x:f>'Registro de vuelos'!C247</x:f>
        <x:v>0</x:v>
      </x:c>
      <x:c r="P246" s="15" t="n">
        <x:f>'Registro de vuelos'!E247</x:f>
        <x:v>0</x:v>
      </x:c>
      <x:c r="Q246" s="21" t="n">
        <x:f>'Registro de vuelos'!F247</x:f>
        <x:v>0</x:v>
      </x:c>
      <x:c r="R246" s="21" t="str">
        <x:f>IF(N246="","",IF(AND(COUNTIFS($N$3:$N$502,N246,$O$3:$O$502,O246,$P$3:$P$502,P246,$Q$3:$Q$502,"&gt;"&amp;Q246)=0,COUNTIFS($N$3:N246,N246,$O$3:O246,O246,$P$3:P246,P246,$Q$3:Q246,Q246)=1),1,0))</x:f>
      </x:c>
      <x:c r="S246" s="21" t="n">
        <x:f t="shared" si="5">IF(R246=1,Q246,0)</x:f>
        <x:v>0</x:v>
      </x:c>
      <x:c r="T246" s="15"/>
      <x:c r="U246" s="15"/>
      <x:c r="V246" s="15"/>
      <x:c r="W246" s="15"/>
      <x:c r="X246" s="15"/>
      <x:c r="Y246" s="15"/>
      <x:c r="Z246" s="14"/>
    </x:row>
    <x:row r="247" ht="14.399999618530273" customHeight="1">
      <x:c r="A247" s="14"/>
      <x:c r="B247" s="14"/>
      <x:c r="C247" s="14"/>
      <x:c r="D247" s="14"/>
      <x:c r="E247" s="14"/>
      <x:c r="F247" s="14"/>
      <x:c r="G247" s="14"/>
      <x:c r="H247" s="14"/>
      <x:c r="I247" s="14"/>
      <x:c r="J247" s="14"/>
      <x:c r="K247" s="14"/>
      <x:c r="L247" s="14"/>
      <x:c r="M247" s="14"/>
      <x:c r="N247" s="93" t="n">
        <x:f>'Registro de vuelos'!A248</x:f>
        <x:v>0</x:v>
      </x:c>
      <x:c r="O247" s="15" t="n">
        <x:f>'Registro de vuelos'!C248</x:f>
        <x:v>0</x:v>
      </x:c>
      <x:c r="P247" s="15" t="n">
        <x:f>'Registro de vuelos'!E248</x:f>
        <x:v>0</x:v>
      </x:c>
      <x:c r="Q247" s="21" t="n">
        <x:f>'Registro de vuelos'!F248</x:f>
        <x:v>0</x:v>
      </x:c>
      <x:c r="R247" s="21" t="str">
        <x:f>IF(N247="","",IF(AND(COUNTIFS($N$3:$N$502,N247,$O$3:$O$502,O247,$P$3:$P$502,P247,$Q$3:$Q$502,"&gt;"&amp;Q247)=0,COUNTIFS($N$3:N247,N247,$O$3:O247,O247,$P$3:P247,P247,$Q$3:Q247,Q247)=1),1,0))</x:f>
      </x:c>
      <x:c r="S247" s="21" t="n">
        <x:f t="shared" si="5">IF(R247=1,Q247,0)</x:f>
        <x:v>0</x:v>
      </x:c>
      <x:c r="T247" s="15"/>
      <x:c r="U247" s="15"/>
      <x:c r="V247" s="15"/>
      <x:c r="W247" s="15"/>
      <x:c r="X247" s="15"/>
      <x:c r="Y247" s="15"/>
      <x:c r="Z247" s="14"/>
    </x:row>
    <x:row r="248" ht="14.399999618530273" customHeight="1">
      <x:c r="A248" s="14"/>
      <x:c r="B248" s="14"/>
      <x:c r="C248" s="14"/>
      <x:c r="D248" s="14"/>
      <x:c r="E248" s="14"/>
      <x:c r="F248" s="14"/>
      <x:c r="G248" s="14"/>
      <x:c r="H248" s="14"/>
      <x:c r="I248" s="14"/>
      <x:c r="J248" s="14"/>
      <x:c r="K248" s="14"/>
      <x:c r="L248" s="14"/>
      <x:c r="M248" s="14"/>
      <x:c r="N248" s="93" t="n">
        <x:f>'Registro de vuelos'!A249</x:f>
        <x:v>0</x:v>
      </x:c>
      <x:c r="O248" s="15" t="n">
        <x:f>'Registro de vuelos'!C249</x:f>
        <x:v>0</x:v>
      </x:c>
      <x:c r="P248" s="15" t="n">
        <x:f>'Registro de vuelos'!E249</x:f>
        <x:v>0</x:v>
      </x:c>
      <x:c r="Q248" s="21" t="n">
        <x:f>'Registro de vuelos'!F249</x:f>
        <x:v>0</x:v>
      </x:c>
      <x:c r="R248" s="21" t="str">
        <x:f>IF(N248="","",IF(AND(COUNTIFS($N$3:$N$502,N248,$O$3:$O$502,O248,$P$3:$P$502,P248,$Q$3:$Q$502,"&gt;"&amp;Q248)=0,COUNTIFS($N$3:N248,N248,$O$3:O248,O248,$P$3:P248,P248,$Q$3:Q248,Q248)=1),1,0))</x:f>
      </x:c>
      <x:c r="S248" s="21" t="n">
        <x:f t="shared" si="5">IF(R248=1,Q248,0)</x:f>
        <x:v>0</x:v>
      </x:c>
      <x:c r="T248" s="15"/>
      <x:c r="U248" s="15"/>
      <x:c r="V248" s="15"/>
      <x:c r="W248" s="15"/>
      <x:c r="X248" s="15"/>
      <x:c r="Y248" s="15"/>
      <x:c r="Z248" s="14"/>
    </x:row>
    <x:row r="249" ht="14.399999618530273" customHeight="1">
      <x:c r="A249" s="14"/>
      <x:c r="B249" s="14"/>
      <x:c r="C249" s="14"/>
      <x:c r="D249" s="14"/>
      <x:c r="E249" s="14"/>
      <x:c r="F249" s="14"/>
      <x:c r="G249" s="14"/>
      <x:c r="H249" s="14"/>
      <x:c r="I249" s="14"/>
      <x:c r="J249" s="14"/>
      <x:c r="K249" s="14"/>
      <x:c r="L249" s="14"/>
      <x:c r="M249" s="14"/>
      <x:c r="N249" s="93" t="n">
        <x:f>'Registro de vuelos'!A250</x:f>
        <x:v>0</x:v>
      </x:c>
      <x:c r="O249" s="15" t="n">
        <x:f>'Registro de vuelos'!C250</x:f>
        <x:v>0</x:v>
      </x:c>
      <x:c r="P249" s="15" t="n">
        <x:f>'Registro de vuelos'!E250</x:f>
        <x:v>0</x:v>
      </x:c>
      <x:c r="Q249" s="21" t="n">
        <x:f>'Registro de vuelos'!F250</x:f>
        <x:v>0</x:v>
      </x:c>
      <x:c r="R249" s="21" t="str">
        <x:f>IF(N249="","",IF(AND(COUNTIFS($N$3:$N$502,N249,$O$3:$O$502,O249,$P$3:$P$502,P249,$Q$3:$Q$502,"&gt;"&amp;Q249)=0,COUNTIFS($N$3:N249,N249,$O$3:O249,O249,$P$3:P249,P249,$Q$3:Q249,Q249)=1),1,0))</x:f>
      </x:c>
      <x:c r="S249" s="21" t="n">
        <x:f t="shared" si="5">IF(R249=1,Q249,0)</x:f>
        <x:v>0</x:v>
      </x:c>
      <x:c r="T249" s="15"/>
      <x:c r="U249" s="15"/>
      <x:c r="V249" s="15"/>
      <x:c r="W249" s="15"/>
      <x:c r="X249" s="15"/>
      <x:c r="Y249" s="15"/>
      <x:c r="Z249" s="14"/>
    </x:row>
    <x:row r="250" ht="14.399999618530273" customHeight="1">
      <x:c r="A250" s="14"/>
      <x:c r="B250" s="14"/>
      <x:c r="C250" s="14"/>
      <x:c r="D250" s="14"/>
      <x:c r="E250" s="14"/>
      <x:c r="F250" s="14"/>
      <x:c r="G250" s="14"/>
      <x:c r="H250" s="14"/>
      <x:c r="I250" s="14"/>
      <x:c r="J250" s="14"/>
      <x:c r="K250" s="14"/>
      <x:c r="L250" s="14"/>
      <x:c r="M250" s="14"/>
      <x:c r="N250" s="93" t="n">
        <x:f>'Registro de vuelos'!A251</x:f>
        <x:v>0</x:v>
      </x:c>
      <x:c r="O250" s="15" t="n">
        <x:f>'Registro de vuelos'!C251</x:f>
        <x:v>0</x:v>
      </x:c>
      <x:c r="P250" s="15" t="n">
        <x:f>'Registro de vuelos'!E251</x:f>
        <x:v>0</x:v>
      </x:c>
      <x:c r="Q250" s="21" t="n">
        <x:f>'Registro de vuelos'!F251</x:f>
        <x:v>0</x:v>
      </x:c>
      <x:c r="R250" s="21" t="str">
        <x:f>IF(N250="","",IF(AND(COUNTIFS($N$3:$N$502,N250,$O$3:$O$502,O250,$P$3:$P$502,P250,$Q$3:$Q$502,"&gt;"&amp;Q250)=0,COUNTIFS($N$3:N250,N250,$O$3:O250,O250,$P$3:P250,P250,$Q$3:Q250,Q250)=1),1,0))</x:f>
      </x:c>
      <x:c r="S250" s="21" t="n">
        <x:f t="shared" si="5">IF(R250=1,Q250,0)</x:f>
        <x:v>0</x:v>
      </x:c>
      <x:c r="T250" s="15"/>
      <x:c r="U250" s="15"/>
      <x:c r="V250" s="15"/>
      <x:c r="W250" s="15"/>
      <x:c r="X250" s="15"/>
      <x:c r="Y250" s="15"/>
      <x:c r="Z250" s="14"/>
    </x:row>
    <x:row r="251" ht="14.399999618530273" customHeight="1">
      <x:c r="A251" s="14"/>
      <x:c r="B251" s="14"/>
      <x:c r="C251" s="14"/>
      <x:c r="D251" s="14"/>
      <x:c r="E251" s="14"/>
      <x:c r="F251" s="14"/>
      <x:c r="G251" s="14"/>
      <x:c r="H251" s="14"/>
      <x:c r="I251" s="14"/>
      <x:c r="J251" s="14"/>
      <x:c r="K251" s="14"/>
      <x:c r="L251" s="14"/>
      <x:c r="M251" s="14"/>
      <x:c r="N251" s="93" t="n">
        <x:f>'Registro de vuelos'!A252</x:f>
        <x:v>0</x:v>
      </x:c>
      <x:c r="O251" s="15" t="n">
        <x:f>'Registro de vuelos'!C252</x:f>
        <x:v>0</x:v>
      </x:c>
      <x:c r="P251" s="15" t="n">
        <x:f>'Registro de vuelos'!E252</x:f>
        <x:v>0</x:v>
      </x:c>
      <x:c r="Q251" s="21" t="n">
        <x:f>'Registro de vuelos'!F252</x:f>
        <x:v>0</x:v>
      </x:c>
      <x:c r="R251" s="21" t="str">
        <x:f>IF(N251="","",IF(AND(COUNTIFS($N$3:$N$502,N251,$O$3:$O$502,O251,$P$3:$P$502,P251,$Q$3:$Q$502,"&gt;"&amp;Q251)=0,COUNTIFS($N$3:N251,N251,$O$3:O251,O251,$P$3:P251,P251,$Q$3:Q251,Q251)=1),1,0))</x:f>
      </x:c>
      <x:c r="S251" s="21" t="n">
        <x:f t="shared" si="5">IF(R251=1,Q251,0)</x:f>
        <x:v>0</x:v>
      </x:c>
      <x:c r="T251" s="15"/>
      <x:c r="U251" s="15"/>
      <x:c r="V251" s="15"/>
      <x:c r="W251" s="15"/>
      <x:c r="X251" s="15"/>
      <x:c r="Y251" s="15"/>
      <x:c r="Z251" s="14"/>
    </x:row>
    <x:row r="252" ht="14.399999618530273" customHeight="1">
      <x:c r="A252" s="14"/>
      <x:c r="B252" s="14"/>
      <x:c r="C252" s="14"/>
      <x:c r="D252" s="14"/>
      <x:c r="E252" s="14"/>
      <x:c r="F252" s="14"/>
      <x:c r="G252" s="14"/>
      <x:c r="H252" s="14"/>
      <x:c r="I252" s="14"/>
      <x:c r="J252" s="14"/>
      <x:c r="K252" s="14"/>
      <x:c r="L252" s="14"/>
      <x:c r="M252" s="14"/>
      <x:c r="N252" s="93" t="n">
        <x:f>'Registro de vuelos'!A253</x:f>
        <x:v>0</x:v>
      </x:c>
      <x:c r="O252" s="15" t="n">
        <x:f>'Registro de vuelos'!C253</x:f>
        <x:v>0</x:v>
      </x:c>
      <x:c r="P252" s="15" t="n">
        <x:f>'Registro de vuelos'!E253</x:f>
        <x:v>0</x:v>
      </x:c>
      <x:c r="Q252" s="21" t="n">
        <x:f>'Registro de vuelos'!F253</x:f>
        <x:v>0</x:v>
      </x:c>
      <x:c r="R252" s="21" t="str">
        <x:f>IF(N252="","",IF(AND(COUNTIFS($N$3:$N$502,N252,$O$3:$O$502,O252,$P$3:$P$502,P252,$Q$3:$Q$502,"&gt;"&amp;Q252)=0,COUNTIFS($N$3:N252,N252,$O$3:O252,O252,$P$3:P252,P252,$Q$3:Q252,Q252)=1),1,0))</x:f>
      </x:c>
      <x:c r="S252" s="21" t="n">
        <x:f t="shared" si="5">IF(R252=1,Q252,0)</x:f>
        <x:v>0</x:v>
      </x:c>
      <x:c r="T252" s="15"/>
      <x:c r="U252" s="15"/>
      <x:c r="V252" s="15"/>
      <x:c r="W252" s="15"/>
      <x:c r="X252" s="15"/>
      <x:c r="Y252" s="15"/>
      <x:c r="Z252" s="14"/>
    </x:row>
    <x:row r="253" ht="14.399999618530273" customHeight="1">
      <x:c r="A253" s="14"/>
      <x:c r="B253" s="14"/>
      <x:c r="C253" s="14"/>
      <x:c r="D253" s="14"/>
      <x:c r="E253" s="14"/>
      <x:c r="F253" s="14"/>
      <x:c r="G253" s="14"/>
      <x:c r="H253" s="14"/>
      <x:c r="I253" s="14"/>
      <x:c r="J253" s="14"/>
      <x:c r="K253" s="14"/>
      <x:c r="L253" s="14"/>
      <x:c r="M253" s="14"/>
      <x:c r="N253" s="93" t="n">
        <x:f>'Registro de vuelos'!A254</x:f>
        <x:v>0</x:v>
      </x:c>
      <x:c r="O253" s="15" t="n">
        <x:f>'Registro de vuelos'!C254</x:f>
        <x:v>0</x:v>
      </x:c>
      <x:c r="P253" s="15" t="n">
        <x:f>'Registro de vuelos'!E254</x:f>
        <x:v>0</x:v>
      </x:c>
      <x:c r="Q253" s="21" t="n">
        <x:f>'Registro de vuelos'!F254</x:f>
        <x:v>0</x:v>
      </x:c>
      <x:c r="R253" s="21" t="str">
        <x:f>IF(N253="","",IF(AND(COUNTIFS($N$3:$N$502,N253,$O$3:$O$502,O253,$P$3:$P$502,P253,$Q$3:$Q$502,"&gt;"&amp;Q253)=0,COUNTIFS($N$3:N253,N253,$O$3:O253,O253,$P$3:P253,P253,$Q$3:Q253,Q253)=1),1,0))</x:f>
      </x:c>
      <x:c r="S253" s="21" t="n">
        <x:f t="shared" si="5">IF(R253=1,Q253,0)</x:f>
        <x:v>0</x:v>
      </x:c>
      <x:c r="T253" s="15"/>
      <x:c r="U253" s="15"/>
      <x:c r="V253" s="15"/>
      <x:c r="W253" s="15"/>
      <x:c r="X253" s="15"/>
      <x:c r="Y253" s="15"/>
      <x:c r="Z253" s="14"/>
    </x:row>
    <x:row r="254" ht="14.399999618530273" customHeight="1">
      <x:c r="A254" s="14"/>
      <x:c r="B254" s="14"/>
      <x:c r="C254" s="14"/>
      <x:c r="D254" s="14"/>
      <x:c r="E254" s="14"/>
      <x:c r="F254" s="14"/>
      <x:c r="G254" s="14"/>
      <x:c r="H254" s="14"/>
      <x:c r="I254" s="14"/>
      <x:c r="J254" s="14"/>
      <x:c r="K254" s="14"/>
      <x:c r="L254" s="14"/>
      <x:c r="M254" s="14"/>
      <x:c r="N254" s="93" t="n">
        <x:f>'Registro de vuelos'!A255</x:f>
        <x:v>0</x:v>
      </x:c>
      <x:c r="O254" s="15" t="n">
        <x:f>'Registro de vuelos'!C255</x:f>
        <x:v>0</x:v>
      </x:c>
      <x:c r="P254" s="15" t="n">
        <x:f>'Registro de vuelos'!E255</x:f>
        <x:v>0</x:v>
      </x:c>
      <x:c r="Q254" s="21" t="n">
        <x:f>'Registro de vuelos'!F255</x:f>
        <x:v>0</x:v>
      </x:c>
      <x:c r="R254" s="21" t="str">
        <x:f>IF(N254="","",IF(AND(COUNTIFS($N$3:$N$502,N254,$O$3:$O$502,O254,$P$3:$P$502,P254,$Q$3:$Q$502,"&gt;"&amp;Q254)=0,COUNTIFS($N$3:N254,N254,$O$3:O254,O254,$P$3:P254,P254,$Q$3:Q254,Q254)=1),1,0))</x:f>
      </x:c>
      <x:c r="S254" s="21" t="n">
        <x:f t="shared" si="5">IF(R254=1,Q254,0)</x:f>
        <x:v>0</x:v>
      </x:c>
      <x:c r="T254" s="15"/>
      <x:c r="U254" s="15"/>
      <x:c r="V254" s="15"/>
      <x:c r="W254" s="15"/>
      <x:c r="X254" s="15"/>
      <x:c r="Y254" s="15"/>
      <x:c r="Z254" s="14"/>
    </x:row>
    <x:row r="255" ht="14.399999618530273" customHeight="1">
      <x:c r="A255" s="14"/>
      <x:c r="B255" s="14"/>
      <x:c r="C255" s="14"/>
      <x:c r="D255" s="14"/>
      <x:c r="E255" s="14"/>
      <x:c r="F255" s="14"/>
      <x:c r="G255" s="14"/>
      <x:c r="H255" s="14"/>
      <x:c r="I255" s="14"/>
      <x:c r="J255" s="14"/>
      <x:c r="K255" s="14"/>
      <x:c r="L255" s="14"/>
      <x:c r="M255" s="14"/>
      <x:c r="N255" s="93" t="n">
        <x:f>'Registro de vuelos'!A256</x:f>
        <x:v>0</x:v>
      </x:c>
      <x:c r="O255" s="15" t="n">
        <x:f>'Registro de vuelos'!C256</x:f>
        <x:v>0</x:v>
      </x:c>
      <x:c r="P255" s="15" t="n">
        <x:f>'Registro de vuelos'!E256</x:f>
        <x:v>0</x:v>
      </x:c>
      <x:c r="Q255" s="21" t="n">
        <x:f>'Registro de vuelos'!F256</x:f>
        <x:v>0</x:v>
      </x:c>
      <x:c r="R255" s="21" t="str">
        <x:f>IF(N255="","",IF(AND(COUNTIFS($N$3:$N$502,N255,$O$3:$O$502,O255,$P$3:$P$502,P255,$Q$3:$Q$502,"&gt;"&amp;Q255)=0,COUNTIFS($N$3:N255,N255,$O$3:O255,O255,$P$3:P255,P255,$Q$3:Q255,Q255)=1),1,0))</x:f>
      </x:c>
      <x:c r="S255" s="21" t="n">
        <x:f t="shared" si="5">IF(R255=1,Q255,0)</x:f>
        <x:v>0</x:v>
      </x:c>
      <x:c r="T255" s="15"/>
      <x:c r="U255" s="15"/>
      <x:c r="V255" s="15"/>
      <x:c r="W255" s="15"/>
      <x:c r="X255" s="15"/>
      <x:c r="Y255" s="15"/>
      <x:c r="Z255" s="14"/>
    </x:row>
    <x:row r="256" ht="14.399999618530273" customHeight="1">
      <x:c r="A256" s="14"/>
      <x:c r="B256" s="14"/>
      <x:c r="C256" s="14"/>
      <x:c r="D256" s="14"/>
      <x:c r="E256" s="14"/>
      <x:c r="F256" s="14"/>
      <x:c r="G256" s="14"/>
      <x:c r="H256" s="14"/>
      <x:c r="I256" s="14"/>
      <x:c r="J256" s="14"/>
      <x:c r="K256" s="14"/>
      <x:c r="L256" s="14"/>
      <x:c r="M256" s="14"/>
      <x:c r="N256" s="93" t="n">
        <x:f>'Registro de vuelos'!A257</x:f>
        <x:v>0</x:v>
      </x:c>
      <x:c r="O256" s="15" t="n">
        <x:f>'Registro de vuelos'!C257</x:f>
        <x:v>0</x:v>
      </x:c>
      <x:c r="P256" s="15" t="n">
        <x:f>'Registro de vuelos'!E257</x:f>
        <x:v>0</x:v>
      </x:c>
      <x:c r="Q256" s="21" t="n">
        <x:f>'Registro de vuelos'!F257</x:f>
        <x:v>0</x:v>
      </x:c>
      <x:c r="R256" s="21" t="str">
        <x:f>IF(N256="","",IF(AND(COUNTIFS($N$3:$N$502,N256,$O$3:$O$502,O256,$P$3:$P$502,P256,$Q$3:$Q$502,"&gt;"&amp;Q256)=0,COUNTIFS($N$3:N256,N256,$O$3:O256,O256,$P$3:P256,P256,$Q$3:Q256,Q256)=1),1,0))</x:f>
      </x:c>
      <x:c r="S256" s="21" t="n">
        <x:f t="shared" si="5">IF(R256=1,Q256,0)</x:f>
        <x:v>0</x:v>
      </x:c>
      <x:c r="T256" s="15"/>
      <x:c r="U256" s="15"/>
      <x:c r="V256" s="15"/>
      <x:c r="W256" s="15"/>
      <x:c r="X256" s="15"/>
      <x:c r="Y256" s="15"/>
      <x:c r="Z256" s="14"/>
    </x:row>
    <x:row r="257" ht="14.399999618530273" customHeight="1">
      <x:c r="A257" s="14"/>
      <x:c r="B257" s="14"/>
      <x:c r="C257" s="14"/>
      <x:c r="D257" s="14"/>
      <x:c r="E257" s="14"/>
      <x:c r="F257" s="14"/>
      <x:c r="G257" s="14"/>
      <x:c r="H257" s="14"/>
      <x:c r="I257" s="14"/>
      <x:c r="J257" s="14"/>
      <x:c r="K257" s="14"/>
      <x:c r="L257" s="14"/>
      <x:c r="M257" s="14"/>
      <x:c r="N257" s="93" t="n">
        <x:f>'Registro de vuelos'!A258</x:f>
        <x:v>0</x:v>
      </x:c>
      <x:c r="O257" s="15" t="n">
        <x:f>'Registro de vuelos'!C258</x:f>
        <x:v>0</x:v>
      </x:c>
      <x:c r="P257" s="15" t="n">
        <x:f>'Registro de vuelos'!E258</x:f>
        <x:v>0</x:v>
      </x:c>
      <x:c r="Q257" s="21" t="n">
        <x:f>'Registro de vuelos'!F258</x:f>
        <x:v>0</x:v>
      </x:c>
      <x:c r="R257" s="21" t="str">
        <x:f>IF(N257="","",IF(AND(COUNTIFS($N$3:$N$502,N257,$O$3:$O$502,O257,$P$3:$P$502,P257,$Q$3:$Q$502,"&gt;"&amp;Q257)=0,COUNTIFS($N$3:N257,N257,$O$3:O257,O257,$P$3:P257,P257,$Q$3:Q257,Q257)=1),1,0))</x:f>
      </x:c>
      <x:c r="S257" s="21" t="n">
        <x:f t="shared" si="5">IF(R257=1,Q257,0)</x:f>
        <x:v>0</x:v>
      </x:c>
      <x:c r="T257" s="15"/>
      <x:c r="U257" s="15"/>
      <x:c r="V257" s="15"/>
      <x:c r="W257" s="15"/>
      <x:c r="X257" s="15"/>
      <x:c r="Y257" s="15"/>
      <x:c r="Z257" s="14"/>
    </x:row>
    <x:row r="258" ht="14.399999618530273" customHeight="1">
      <x:c r="A258" s="14"/>
      <x:c r="B258" s="14"/>
      <x:c r="C258" s="14"/>
      <x:c r="D258" s="14"/>
      <x:c r="E258" s="14"/>
      <x:c r="F258" s="14"/>
      <x:c r="G258" s="14"/>
      <x:c r="H258" s="14"/>
      <x:c r="I258" s="14"/>
      <x:c r="J258" s="14"/>
      <x:c r="K258" s="14"/>
      <x:c r="L258" s="14"/>
      <x:c r="M258" s="14"/>
      <x:c r="N258" s="93" t="n">
        <x:f>'Registro de vuelos'!A259</x:f>
        <x:v>0</x:v>
      </x:c>
      <x:c r="O258" s="15" t="n">
        <x:f>'Registro de vuelos'!C259</x:f>
        <x:v>0</x:v>
      </x:c>
      <x:c r="P258" s="15" t="n">
        <x:f>'Registro de vuelos'!E259</x:f>
        <x:v>0</x:v>
      </x:c>
      <x:c r="Q258" s="21" t="n">
        <x:f>'Registro de vuelos'!F259</x:f>
        <x:v>0</x:v>
      </x:c>
      <x:c r="R258" s="21" t="str">
        <x:f>IF(N258="","",IF(AND(COUNTIFS($N$3:$N$502,N258,$O$3:$O$502,O258,$P$3:$P$502,P258,$Q$3:$Q$502,"&gt;"&amp;Q258)=0,COUNTIFS($N$3:N258,N258,$O$3:O258,O258,$P$3:P258,P258,$Q$3:Q258,Q258)=1),1,0))</x:f>
      </x:c>
      <x:c r="S258" s="21" t="n">
        <x:f t="shared" si="5">IF(R258=1,Q258,0)</x:f>
        <x:v>0</x:v>
      </x:c>
      <x:c r="T258" s="15"/>
      <x:c r="U258" s="15"/>
      <x:c r="V258" s="15"/>
      <x:c r="W258" s="15"/>
      <x:c r="X258" s="15"/>
      <x:c r="Y258" s="15"/>
      <x:c r="Z258" s="14"/>
    </x:row>
    <x:row r="259" ht="14.399999618530273" customHeight="1">
      <x:c r="A259" s="14"/>
      <x:c r="B259" s="14"/>
      <x:c r="C259" s="14"/>
      <x:c r="D259" s="14"/>
      <x:c r="E259" s="14"/>
      <x:c r="F259" s="14"/>
      <x:c r="G259" s="14"/>
      <x:c r="H259" s="14"/>
      <x:c r="I259" s="14"/>
      <x:c r="J259" s="14"/>
      <x:c r="K259" s="14"/>
      <x:c r="L259" s="14"/>
      <x:c r="M259" s="14"/>
      <x:c r="N259" s="93" t="n">
        <x:f>'Registro de vuelos'!A260</x:f>
        <x:v>0</x:v>
      </x:c>
      <x:c r="O259" s="15" t="n">
        <x:f>'Registro de vuelos'!C260</x:f>
        <x:v>0</x:v>
      </x:c>
      <x:c r="P259" s="15" t="n">
        <x:f>'Registro de vuelos'!E260</x:f>
        <x:v>0</x:v>
      </x:c>
      <x:c r="Q259" s="21" t="n">
        <x:f>'Registro de vuelos'!F260</x:f>
        <x:v>0</x:v>
      </x:c>
      <x:c r="R259" s="21" t="str">
        <x:f>IF(N259="","",IF(AND(COUNTIFS($N$3:$N$502,N259,$O$3:$O$502,O259,$P$3:$P$502,P259,$Q$3:$Q$502,"&gt;"&amp;Q259)=0,COUNTIFS($N$3:N259,N259,$O$3:O259,O259,$P$3:P259,P259,$Q$3:Q259,Q259)=1),1,0))</x:f>
      </x:c>
      <x:c r="S259" s="21" t="n">
        <x:f t="shared" ref="S259:S322" si="6">IF(R259=1,Q259,0)</x:f>
        <x:v>0</x:v>
      </x:c>
      <x:c r="T259" s="15"/>
      <x:c r="U259" s="15"/>
      <x:c r="V259" s="15"/>
      <x:c r="W259" s="15"/>
      <x:c r="X259" s="15"/>
      <x:c r="Y259" s="15"/>
      <x:c r="Z259" s="14"/>
    </x:row>
    <x:row r="260" ht="14.399999618530273" customHeight="1">
      <x:c r="A260" s="14"/>
      <x:c r="B260" s="14"/>
      <x:c r="C260" s="14"/>
      <x:c r="D260" s="14"/>
      <x:c r="E260" s="14"/>
      <x:c r="F260" s="14"/>
      <x:c r="G260" s="14"/>
      <x:c r="H260" s="14"/>
      <x:c r="I260" s="14"/>
      <x:c r="J260" s="14"/>
      <x:c r="K260" s="14"/>
      <x:c r="L260" s="14"/>
      <x:c r="M260" s="14"/>
      <x:c r="N260" s="93" t="n">
        <x:f>'Registro de vuelos'!A261</x:f>
        <x:v>0</x:v>
      </x:c>
      <x:c r="O260" s="15" t="n">
        <x:f>'Registro de vuelos'!C261</x:f>
        <x:v>0</x:v>
      </x:c>
      <x:c r="P260" s="15" t="n">
        <x:f>'Registro de vuelos'!E261</x:f>
        <x:v>0</x:v>
      </x:c>
      <x:c r="Q260" s="21" t="n">
        <x:f>'Registro de vuelos'!F261</x:f>
        <x:v>0</x:v>
      </x:c>
      <x:c r="R260" s="21" t="str">
        <x:f>IF(N260="","",IF(AND(COUNTIFS($N$3:$N$502,N260,$O$3:$O$502,O260,$P$3:$P$502,P260,$Q$3:$Q$502,"&gt;"&amp;Q260)=0,COUNTIFS($N$3:N260,N260,$O$3:O260,O260,$P$3:P260,P260,$Q$3:Q260,Q260)=1),1,0))</x:f>
      </x:c>
      <x:c r="S260" s="21" t="n">
        <x:f t="shared" si="6">IF(R260=1,Q260,0)</x:f>
        <x:v>0</x:v>
      </x:c>
      <x:c r="T260" s="15"/>
      <x:c r="U260" s="15"/>
      <x:c r="V260" s="15"/>
      <x:c r="W260" s="15"/>
      <x:c r="X260" s="15"/>
      <x:c r="Y260" s="15"/>
      <x:c r="Z260" s="14"/>
    </x:row>
    <x:row r="261" ht="14.399999618530273" customHeight="1">
      <x:c r="A261" s="14"/>
      <x:c r="B261" s="14"/>
      <x:c r="C261" s="14"/>
      <x:c r="D261" s="14"/>
      <x:c r="E261" s="14"/>
      <x:c r="F261" s="14"/>
      <x:c r="G261" s="14"/>
      <x:c r="H261" s="14"/>
      <x:c r="I261" s="14"/>
      <x:c r="J261" s="14"/>
      <x:c r="K261" s="14"/>
      <x:c r="L261" s="14"/>
      <x:c r="M261" s="14"/>
      <x:c r="N261" s="93" t="n">
        <x:f>'Registro de vuelos'!A262</x:f>
        <x:v>0</x:v>
      </x:c>
      <x:c r="O261" s="15" t="n">
        <x:f>'Registro de vuelos'!C262</x:f>
        <x:v>0</x:v>
      </x:c>
      <x:c r="P261" s="15" t="n">
        <x:f>'Registro de vuelos'!E262</x:f>
        <x:v>0</x:v>
      </x:c>
      <x:c r="Q261" s="21" t="n">
        <x:f>'Registro de vuelos'!F262</x:f>
        <x:v>0</x:v>
      </x:c>
      <x:c r="R261" s="21" t="str">
        <x:f>IF(N261="","",IF(AND(COUNTIFS($N$3:$N$502,N261,$O$3:$O$502,O261,$P$3:$P$502,P261,$Q$3:$Q$502,"&gt;"&amp;Q261)=0,COUNTIFS($N$3:N261,N261,$O$3:O261,O261,$P$3:P261,P261,$Q$3:Q261,Q261)=1),1,0))</x:f>
      </x:c>
      <x:c r="S261" s="21" t="n">
        <x:f t="shared" si="6">IF(R261=1,Q261,0)</x:f>
        <x:v>0</x:v>
      </x:c>
      <x:c r="T261" s="15"/>
      <x:c r="U261" s="15"/>
      <x:c r="V261" s="15"/>
      <x:c r="W261" s="15"/>
      <x:c r="X261" s="15"/>
      <x:c r="Y261" s="15"/>
      <x:c r="Z261" s="14"/>
    </x:row>
    <x:row r="262" ht="14.399999618530273" customHeight="1">
      <x:c r="A262" s="14"/>
      <x:c r="B262" s="14"/>
      <x:c r="C262" s="14"/>
      <x:c r="D262" s="14"/>
      <x:c r="E262" s="14"/>
      <x:c r="F262" s="14"/>
      <x:c r="G262" s="14"/>
      <x:c r="H262" s="14"/>
      <x:c r="I262" s="14"/>
      <x:c r="J262" s="14"/>
      <x:c r="K262" s="14"/>
      <x:c r="L262" s="14"/>
      <x:c r="M262" s="14"/>
      <x:c r="N262" s="93" t="n">
        <x:f>'Registro de vuelos'!A263</x:f>
        <x:v>0</x:v>
      </x:c>
      <x:c r="O262" s="15" t="n">
        <x:f>'Registro de vuelos'!C263</x:f>
        <x:v>0</x:v>
      </x:c>
      <x:c r="P262" s="15" t="n">
        <x:f>'Registro de vuelos'!E263</x:f>
        <x:v>0</x:v>
      </x:c>
      <x:c r="Q262" s="21" t="n">
        <x:f>'Registro de vuelos'!F263</x:f>
        <x:v>0</x:v>
      </x:c>
      <x:c r="R262" s="21" t="str">
        <x:f>IF(N262="","",IF(AND(COUNTIFS($N$3:$N$502,N262,$O$3:$O$502,O262,$P$3:$P$502,P262,$Q$3:$Q$502,"&gt;"&amp;Q262)=0,COUNTIFS($N$3:N262,N262,$O$3:O262,O262,$P$3:P262,P262,$Q$3:Q262,Q262)=1),1,0))</x:f>
      </x:c>
      <x:c r="S262" s="21" t="n">
        <x:f t="shared" si="6">IF(R262=1,Q262,0)</x:f>
        <x:v>0</x:v>
      </x:c>
      <x:c r="T262" s="15"/>
      <x:c r="U262" s="15"/>
      <x:c r="V262" s="15"/>
      <x:c r="W262" s="15"/>
      <x:c r="X262" s="15"/>
      <x:c r="Y262" s="15"/>
      <x:c r="Z262" s="14"/>
    </x:row>
    <x:row r="263" ht="14.399999618530273" customHeight="1">
      <x:c r="A263" s="14"/>
      <x:c r="B263" s="14"/>
      <x:c r="C263" s="14"/>
      <x:c r="D263" s="14"/>
      <x:c r="E263" s="14"/>
      <x:c r="F263" s="14"/>
      <x:c r="G263" s="14"/>
      <x:c r="H263" s="14"/>
      <x:c r="I263" s="14"/>
      <x:c r="J263" s="14"/>
      <x:c r="K263" s="14"/>
      <x:c r="L263" s="14"/>
      <x:c r="M263" s="14"/>
      <x:c r="N263" s="93" t="n">
        <x:f>'Registro de vuelos'!A264</x:f>
        <x:v>0</x:v>
      </x:c>
      <x:c r="O263" s="15" t="n">
        <x:f>'Registro de vuelos'!C264</x:f>
        <x:v>0</x:v>
      </x:c>
      <x:c r="P263" s="15" t="n">
        <x:f>'Registro de vuelos'!E264</x:f>
        <x:v>0</x:v>
      </x:c>
      <x:c r="Q263" s="21" t="n">
        <x:f>'Registro de vuelos'!F264</x:f>
        <x:v>0</x:v>
      </x:c>
      <x:c r="R263" s="21" t="str">
        <x:f>IF(N263="","",IF(AND(COUNTIFS($N$3:$N$502,N263,$O$3:$O$502,O263,$P$3:$P$502,P263,$Q$3:$Q$502,"&gt;"&amp;Q263)=0,COUNTIFS($N$3:N263,N263,$O$3:O263,O263,$P$3:P263,P263,$Q$3:Q263,Q263)=1),1,0))</x:f>
      </x:c>
      <x:c r="S263" s="21" t="n">
        <x:f t="shared" si="6">IF(R263=1,Q263,0)</x:f>
        <x:v>0</x:v>
      </x:c>
      <x:c r="T263" s="15"/>
      <x:c r="U263" s="15"/>
      <x:c r="V263" s="15"/>
      <x:c r="W263" s="15"/>
      <x:c r="X263" s="15"/>
      <x:c r="Y263" s="15"/>
      <x:c r="Z263" s="14"/>
    </x:row>
    <x:row r="264" ht="14.399999618530273" customHeight="1">
      <x:c r="A264" s="14"/>
      <x:c r="B264" s="14"/>
      <x:c r="C264" s="14"/>
      <x:c r="D264" s="14"/>
      <x:c r="E264" s="14"/>
      <x:c r="F264" s="14"/>
      <x:c r="G264" s="14"/>
      <x:c r="H264" s="14"/>
      <x:c r="I264" s="14"/>
      <x:c r="J264" s="14"/>
      <x:c r="K264" s="14"/>
      <x:c r="L264" s="14"/>
      <x:c r="M264" s="14"/>
      <x:c r="N264" s="93" t="n">
        <x:f>'Registro de vuelos'!A265</x:f>
        <x:v>0</x:v>
      </x:c>
      <x:c r="O264" s="15" t="n">
        <x:f>'Registro de vuelos'!C265</x:f>
        <x:v>0</x:v>
      </x:c>
      <x:c r="P264" s="15" t="n">
        <x:f>'Registro de vuelos'!E265</x:f>
        <x:v>0</x:v>
      </x:c>
      <x:c r="Q264" s="21" t="n">
        <x:f>'Registro de vuelos'!F265</x:f>
        <x:v>0</x:v>
      </x:c>
      <x:c r="R264" s="21" t="str">
        <x:f>IF(N264="","",IF(AND(COUNTIFS($N$3:$N$502,N264,$O$3:$O$502,O264,$P$3:$P$502,P264,$Q$3:$Q$502,"&gt;"&amp;Q264)=0,COUNTIFS($N$3:N264,N264,$O$3:O264,O264,$P$3:P264,P264,$Q$3:Q264,Q264)=1),1,0))</x:f>
      </x:c>
      <x:c r="S264" s="21" t="n">
        <x:f t="shared" si="6">IF(R264=1,Q264,0)</x:f>
        <x:v>0</x:v>
      </x:c>
      <x:c r="T264" s="15"/>
      <x:c r="U264" s="15"/>
      <x:c r="V264" s="15"/>
      <x:c r="W264" s="15"/>
      <x:c r="X264" s="15"/>
      <x:c r="Y264" s="15"/>
      <x:c r="Z264" s="14"/>
    </x:row>
    <x:row r="265" ht="14.399999618530273" customHeight="1">
      <x:c r="A265" s="14"/>
      <x:c r="B265" s="14"/>
      <x:c r="C265" s="14"/>
      <x:c r="D265" s="14"/>
      <x:c r="E265" s="14"/>
      <x:c r="F265" s="14"/>
      <x:c r="G265" s="14"/>
      <x:c r="H265" s="14"/>
      <x:c r="I265" s="14"/>
      <x:c r="J265" s="14"/>
      <x:c r="K265" s="14"/>
      <x:c r="L265" s="14"/>
      <x:c r="M265" s="14"/>
      <x:c r="N265" s="93" t="n">
        <x:f>'Registro de vuelos'!A266</x:f>
        <x:v>0</x:v>
      </x:c>
      <x:c r="O265" s="15" t="n">
        <x:f>'Registro de vuelos'!C266</x:f>
        <x:v>0</x:v>
      </x:c>
      <x:c r="P265" s="15" t="n">
        <x:f>'Registro de vuelos'!E266</x:f>
        <x:v>0</x:v>
      </x:c>
      <x:c r="Q265" s="21" t="n">
        <x:f>'Registro de vuelos'!F266</x:f>
        <x:v>0</x:v>
      </x:c>
      <x:c r="R265" s="21" t="str">
        <x:f>IF(N265="","",IF(AND(COUNTIFS($N$3:$N$502,N265,$O$3:$O$502,O265,$P$3:$P$502,P265,$Q$3:$Q$502,"&gt;"&amp;Q265)=0,COUNTIFS($N$3:N265,N265,$O$3:O265,O265,$P$3:P265,P265,$Q$3:Q265,Q265)=1),1,0))</x:f>
      </x:c>
      <x:c r="S265" s="21" t="n">
        <x:f t="shared" si="6">IF(R265=1,Q265,0)</x:f>
        <x:v>0</x:v>
      </x:c>
      <x:c r="T265" s="15"/>
      <x:c r="U265" s="15"/>
      <x:c r="V265" s="15"/>
      <x:c r="W265" s="15"/>
      <x:c r="X265" s="15"/>
      <x:c r="Y265" s="15"/>
      <x:c r="Z265" s="14"/>
    </x:row>
    <x:row r="266" ht="14.399999618530273" customHeight="1">
      <x:c r="A266" s="14"/>
      <x:c r="B266" s="14"/>
      <x:c r="C266" s="14"/>
      <x:c r="D266" s="14"/>
      <x:c r="E266" s="14"/>
      <x:c r="F266" s="14"/>
      <x:c r="G266" s="14"/>
      <x:c r="H266" s="14"/>
      <x:c r="I266" s="14"/>
      <x:c r="J266" s="14"/>
      <x:c r="K266" s="14"/>
      <x:c r="L266" s="14"/>
      <x:c r="M266" s="14"/>
      <x:c r="N266" s="93" t="n">
        <x:f>'Registro de vuelos'!A267</x:f>
        <x:v>0</x:v>
      </x:c>
      <x:c r="O266" s="15" t="n">
        <x:f>'Registro de vuelos'!C267</x:f>
        <x:v>0</x:v>
      </x:c>
      <x:c r="P266" s="15" t="n">
        <x:f>'Registro de vuelos'!E267</x:f>
        <x:v>0</x:v>
      </x:c>
      <x:c r="Q266" s="21" t="n">
        <x:f>'Registro de vuelos'!F267</x:f>
        <x:v>0</x:v>
      </x:c>
      <x:c r="R266" s="21" t="str">
        <x:f>IF(N266="","",IF(AND(COUNTIFS($N$3:$N$502,N266,$O$3:$O$502,O266,$P$3:$P$502,P266,$Q$3:$Q$502,"&gt;"&amp;Q266)=0,COUNTIFS($N$3:N266,N266,$O$3:O266,O266,$P$3:P266,P266,$Q$3:Q266,Q266)=1),1,0))</x:f>
      </x:c>
      <x:c r="S266" s="21" t="n">
        <x:f t="shared" si="6">IF(R266=1,Q266,0)</x:f>
        <x:v>0</x:v>
      </x:c>
      <x:c r="T266" s="15"/>
      <x:c r="U266" s="15"/>
      <x:c r="V266" s="15"/>
      <x:c r="W266" s="15"/>
      <x:c r="X266" s="15"/>
      <x:c r="Y266" s="15"/>
      <x:c r="Z266" s="14"/>
    </x:row>
    <x:row r="267" ht="14.399999618530273" customHeight="1">
      <x:c r="A267" s="14"/>
      <x:c r="B267" s="14"/>
      <x:c r="C267" s="14"/>
      <x:c r="D267" s="14"/>
      <x:c r="E267" s="14"/>
      <x:c r="F267" s="14"/>
      <x:c r="G267" s="14"/>
      <x:c r="H267" s="14"/>
      <x:c r="I267" s="14"/>
      <x:c r="J267" s="14"/>
      <x:c r="K267" s="14"/>
      <x:c r="L267" s="14"/>
      <x:c r="M267" s="14"/>
      <x:c r="N267" s="93" t="n">
        <x:f>'Registro de vuelos'!A268</x:f>
        <x:v>0</x:v>
      </x:c>
      <x:c r="O267" s="15" t="n">
        <x:f>'Registro de vuelos'!C268</x:f>
        <x:v>0</x:v>
      </x:c>
      <x:c r="P267" s="15" t="n">
        <x:f>'Registro de vuelos'!E268</x:f>
        <x:v>0</x:v>
      </x:c>
      <x:c r="Q267" s="21" t="n">
        <x:f>'Registro de vuelos'!F268</x:f>
        <x:v>0</x:v>
      </x:c>
      <x:c r="R267" s="21" t="str">
        <x:f>IF(N267="","",IF(AND(COUNTIFS($N$3:$N$502,N267,$O$3:$O$502,O267,$P$3:$P$502,P267,$Q$3:$Q$502,"&gt;"&amp;Q267)=0,COUNTIFS($N$3:N267,N267,$O$3:O267,O267,$P$3:P267,P267,$Q$3:Q267,Q267)=1),1,0))</x:f>
      </x:c>
      <x:c r="S267" s="21" t="n">
        <x:f t="shared" si="6">IF(R267=1,Q267,0)</x:f>
        <x:v>0</x:v>
      </x:c>
      <x:c r="T267" s="15"/>
      <x:c r="U267" s="15"/>
      <x:c r="V267" s="15"/>
      <x:c r="W267" s="15"/>
      <x:c r="X267" s="15"/>
      <x:c r="Y267" s="15"/>
      <x:c r="Z267" s="14"/>
    </x:row>
    <x:row r="268" ht="14.399999618530273" customHeight="1">
      <x:c r="A268" s="14"/>
      <x:c r="B268" s="14"/>
      <x:c r="C268" s="14"/>
      <x:c r="D268" s="14"/>
      <x:c r="E268" s="14"/>
      <x:c r="F268" s="14"/>
      <x:c r="G268" s="14"/>
      <x:c r="H268" s="14"/>
      <x:c r="I268" s="14"/>
      <x:c r="J268" s="14"/>
      <x:c r="K268" s="14"/>
      <x:c r="L268" s="14"/>
      <x:c r="M268" s="14"/>
      <x:c r="N268" s="93" t="n">
        <x:f>'Registro de vuelos'!A269</x:f>
        <x:v>0</x:v>
      </x:c>
      <x:c r="O268" s="15" t="n">
        <x:f>'Registro de vuelos'!C269</x:f>
        <x:v>0</x:v>
      </x:c>
      <x:c r="P268" s="15" t="n">
        <x:f>'Registro de vuelos'!E269</x:f>
        <x:v>0</x:v>
      </x:c>
      <x:c r="Q268" s="21" t="n">
        <x:f>'Registro de vuelos'!F269</x:f>
        <x:v>0</x:v>
      </x:c>
      <x:c r="R268" s="21" t="str">
        <x:f>IF(N268="","",IF(AND(COUNTIFS($N$3:$N$502,N268,$O$3:$O$502,O268,$P$3:$P$502,P268,$Q$3:$Q$502,"&gt;"&amp;Q268)=0,COUNTIFS($N$3:N268,N268,$O$3:O268,O268,$P$3:P268,P268,$Q$3:Q268,Q268)=1),1,0))</x:f>
      </x:c>
      <x:c r="S268" s="21" t="n">
        <x:f t="shared" si="6">IF(R268=1,Q268,0)</x:f>
        <x:v>0</x:v>
      </x:c>
      <x:c r="T268" s="15"/>
      <x:c r="U268" s="15"/>
      <x:c r="V268" s="15"/>
      <x:c r="W268" s="15"/>
      <x:c r="X268" s="15"/>
      <x:c r="Y268" s="15"/>
      <x:c r="Z268" s="14"/>
    </x:row>
    <x:row r="269" ht="14.399999618530273" customHeight="1">
      <x:c r="A269" s="14"/>
      <x:c r="B269" s="14"/>
      <x:c r="C269" s="14"/>
      <x:c r="D269" s="14"/>
      <x:c r="E269" s="14"/>
      <x:c r="F269" s="14"/>
      <x:c r="G269" s="14"/>
      <x:c r="H269" s="14"/>
      <x:c r="I269" s="14"/>
      <x:c r="J269" s="14"/>
      <x:c r="K269" s="14"/>
      <x:c r="L269" s="14"/>
      <x:c r="M269" s="14"/>
      <x:c r="N269" s="93" t="n">
        <x:f>'Registro de vuelos'!A270</x:f>
        <x:v>0</x:v>
      </x:c>
      <x:c r="O269" s="15" t="n">
        <x:f>'Registro de vuelos'!C270</x:f>
        <x:v>0</x:v>
      </x:c>
      <x:c r="P269" s="15" t="n">
        <x:f>'Registro de vuelos'!E270</x:f>
        <x:v>0</x:v>
      </x:c>
      <x:c r="Q269" s="21" t="n">
        <x:f>'Registro de vuelos'!F270</x:f>
        <x:v>0</x:v>
      </x:c>
      <x:c r="R269" s="21" t="str">
        <x:f>IF(N269="","",IF(AND(COUNTIFS($N$3:$N$502,N269,$O$3:$O$502,O269,$P$3:$P$502,P269,$Q$3:$Q$502,"&gt;"&amp;Q269)=0,COUNTIFS($N$3:N269,N269,$O$3:O269,O269,$P$3:P269,P269,$Q$3:Q269,Q269)=1),1,0))</x:f>
      </x:c>
      <x:c r="S269" s="21" t="n">
        <x:f t="shared" si="6">IF(R269=1,Q269,0)</x:f>
        <x:v>0</x:v>
      </x:c>
      <x:c r="T269" s="15"/>
      <x:c r="U269" s="15"/>
      <x:c r="V269" s="15"/>
      <x:c r="W269" s="15"/>
      <x:c r="X269" s="15"/>
      <x:c r="Y269" s="15"/>
      <x:c r="Z269" s="14"/>
    </x:row>
    <x:row r="270" ht="14.399999618530273" customHeight="1">
      <x:c r="A270" s="14"/>
      <x:c r="B270" s="14"/>
      <x:c r="C270" s="14"/>
      <x:c r="D270" s="14"/>
      <x:c r="E270" s="14"/>
      <x:c r="F270" s="14"/>
      <x:c r="G270" s="14"/>
      <x:c r="H270" s="14"/>
      <x:c r="I270" s="14"/>
      <x:c r="J270" s="14"/>
      <x:c r="K270" s="14"/>
      <x:c r="L270" s="14"/>
      <x:c r="M270" s="14"/>
      <x:c r="N270" s="93" t="n">
        <x:f>'Registro de vuelos'!A271</x:f>
        <x:v>0</x:v>
      </x:c>
      <x:c r="O270" s="15" t="n">
        <x:f>'Registro de vuelos'!C271</x:f>
        <x:v>0</x:v>
      </x:c>
      <x:c r="P270" s="15" t="n">
        <x:f>'Registro de vuelos'!E271</x:f>
        <x:v>0</x:v>
      </x:c>
      <x:c r="Q270" s="21" t="n">
        <x:f>'Registro de vuelos'!F271</x:f>
        <x:v>0</x:v>
      </x:c>
      <x:c r="R270" s="21" t="str">
        <x:f>IF(N270="","",IF(AND(COUNTIFS($N$3:$N$502,N270,$O$3:$O$502,O270,$P$3:$P$502,P270,$Q$3:$Q$502,"&gt;"&amp;Q270)=0,COUNTIFS($N$3:N270,N270,$O$3:O270,O270,$P$3:P270,P270,$Q$3:Q270,Q270)=1),1,0))</x:f>
      </x:c>
      <x:c r="S270" s="21" t="n">
        <x:f t="shared" si="6">IF(R270=1,Q270,0)</x:f>
        <x:v>0</x:v>
      </x:c>
      <x:c r="T270" s="15"/>
      <x:c r="U270" s="15"/>
      <x:c r="V270" s="15"/>
      <x:c r="W270" s="15"/>
      <x:c r="X270" s="15"/>
      <x:c r="Y270" s="15"/>
      <x:c r="Z270" s="14"/>
    </x:row>
    <x:row r="271" ht="14.399999618530273" customHeight="1">
      <x:c r="A271" s="14"/>
      <x:c r="B271" s="14"/>
      <x:c r="C271" s="14"/>
      <x:c r="D271" s="14"/>
      <x:c r="E271" s="14"/>
      <x:c r="F271" s="14"/>
      <x:c r="G271" s="14"/>
      <x:c r="H271" s="14"/>
      <x:c r="I271" s="14"/>
      <x:c r="J271" s="14"/>
      <x:c r="K271" s="14"/>
      <x:c r="L271" s="14"/>
      <x:c r="M271" s="14"/>
      <x:c r="N271" s="93" t="n">
        <x:f>'Registro de vuelos'!A272</x:f>
        <x:v>0</x:v>
      </x:c>
      <x:c r="O271" s="15" t="n">
        <x:f>'Registro de vuelos'!C272</x:f>
        <x:v>0</x:v>
      </x:c>
      <x:c r="P271" s="15" t="n">
        <x:f>'Registro de vuelos'!E272</x:f>
        <x:v>0</x:v>
      </x:c>
      <x:c r="Q271" s="21" t="n">
        <x:f>'Registro de vuelos'!F272</x:f>
        <x:v>0</x:v>
      </x:c>
      <x:c r="R271" s="21" t="str">
        <x:f>IF(N271="","",IF(AND(COUNTIFS($N$3:$N$502,N271,$O$3:$O$502,O271,$P$3:$P$502,P271,$Q$3:$Q$502,"&gt;"&amp;Q271)=0,COUNTIFS($N$3:N271,N271,$O$3:O271,O271,$P$3:P271,P271,$Q$3:Q271,Q271)=1),1,0))</x:f>
      </x:c>
      <x:c r="S271" s="21" t="n">
        <x:f t="shared" si="6">IF(R271=1,Q271,0)</x:f>
        <x:v>0</x:v>
      </x:c>
      <x:c r="T271" s="15"/>
      <x:c r="U271" s="15"/>
      <x:c r="V271" s="15"/>
      <x:c r="W271" s="15"/>
      <x:c r="X271" s="15"/>
      <x:c r="Y271" s="15"/>
      <x:c r="Z271" s="14"/>
    </x:row>
    <x:row r="272" ht="14.399999618530273" customHeight="1">
      <x:c r="A272" s="14"/>
      <x:c r="B272" s="14"/>
      <x:c r="C272" s="14"/>
      <x:c r="D272" s="14"/>
      <x:c r="E272" s="14"/>
      <x:c r="F272" s="14"/>
      <x:c r="G272" s="14"/>
      <x:c r="H272" s="14"/>
      <x:c r="I272" s="14"/>
      <x:c r="J272" s="14"/>
      <x:c r="K272" s="14"/>
      <x:c r="L272" s="14"/>
      <x:c r="M272" s="14"/>
      <x:c r="N272" s="93" t="n">
        <x:f>'Registro de vuelos'!A273</x:f>
        <x:v>0</x:v>
      </x:c>
      <x:c r="O272" s="15" t="n">
        <x:f>'Registro de vuelos'!C273</x:f>
        <x:v>0</x:v>
      </x:c>
      <x:c r="P272" s="15" t="n">
        <x:f>'Registro de vuelos'!E273</x:f>
        <x:v>0</x:v>
      </x:c>
      <x:c r="Q272" s="21" t="n">
        <x:f>'Registro de vuelos'!F273</x:f>
        <x:v>0</x:v>
      </x:c>
      <x:c r="R272" s="21" t="str">
        <x:f>IF(N272="","",IF(AND(COUNTIFS($N$3:$N$502,N272,$O$3:$O$502,O272,$P$3:$P$502,P272,$Q$3:$Q$502,"&gt;"&amp;Q272)=0,COUNTIFS($N$3:N272,N272,$O$3:O272,O272,$P$3:P272,P272,$Q$3:Q272,Q272)=1),1,0))</x:f>
      </x:c>
      <x:c r="S272" s="21" t="n">
        <x:f t="shared" si="6">IF(R272=1,Q272,0)</x:f>
        <x:v>0</x:v>
      </x:c>
      <x:c r="T272" s="15"/>
      <x:c r="U272" s="15"/>
      <x:c r="V272" s="15"/>
      <x:c r="W272" s="15"/>
      <x:c r="X272" s="15"/>
      <x:c r="Y272" s="15"/>
      <x:c r="Z272" s="14"/>
    </x:row>
    <x:row r="273" ht="14.399999618530273" customHeight="1">
      <x:c r="A273" s="14"/>
      <x:c r="B273" s="14"/>
      <x:c r="C273" s="14"/>
      <x:c r="D273" s="14"/>
      <x:c r="E273" s="14"/>
      <x:c r="F273" s="14"/>
      <x:c r="G273" s="14"/>
      <x:c r="H273" s="14"/>
      <x:c r="I273" s="14"/>
      <x:c r="J273" s="14"/>
      <x:c r="K273" s="14"/>
      <x:c r="L273" s="14"/>
      <x:c r="M273" s="14"/>
      <x:c r="N273" s="93" t="n">
        <x:f>'Registro de vuelos'!A274</x:f>
        <x:v>0</x:v>
      </x:c>
      <x:c r="O273" s="15" t="n">
        <x:f>'Registro de vuelos'!C274</x:f>
        <x:v>0</x:v>
      </x:c>
      <x:c r="P273" s="15" t="n">
        <x:f>'Registro de vuelos'!E274</x:f>
        <x:v>0</x:v>
      </x:c>
      <x:c r="Q273" s="21" t="n">
        <x:f>'Registro de vuelos'!F274</x:f>
        <x:v>0</x:v>
      </x:c>
      <x:c r="R273" s="21" t="str">
        <x:f>IF(N273="","",IF(AND(COUNTIFS($N$3:$N$502,N273,$O$3:$O$502,O273,$P$3:$P$502,P273,$Q$3:$Q$502,"&gt;"&amp;Q273)=0,COUNTIFS($N$3:N273,N273,$O$3:O273,O273,$P$3:P273,P273,$Q$3:Q273,Q273)=1),1,0))</x:f>
      </x:c>
      <x:c r="S273" s="21" t="n">
        <x:f t="shared" si="6">IF(R273=1,Q273,0)</x:f>
        <x:v>0</x:v>
      </x:c>
      <x:c r="T273" s="15"/>
      <x:c r="U273" s="15"/>
      <x:c r="V273" s="15"/>
      <x:c r="W273" s="15"/>
      <x:c r="X273" s="15"/>
      <x:c r="Y273" s="15"/>
      <x:c r="Z273" s="14"/>
    </x:row>
    <x:row r="274" ht="14.399999618530273" customHeight="1">
      <x:c r="A274" s="14"/>
      <x:c r="B274" s="14"/>
      <x:c r="C274" s="14"/>
      <x:c r="D274" s="14"/>
      <x:c r="E274" s="14"/>
      <x:c r="F274" s="14"/>
      <x:c r="G274" s="14"/>
      <x:c r="H274" s="14"/>
      <x:c r="I274" s="14"/>
      <x:c r="J274" s="14"/>
      <x:c r="K274" s="14"/>
      <x:c r="L274" s="14"/>
      <x:c r="M274" s="14"/>
      <x:c r="N274" s="93" t="n">
        <x:f>'Registro de vuelos'!A275</x:f>
        <x:v>0</x:v>
      </x:c>
      <x:c r="O274" s="15" t="n">
        <x:f>'Registro de vuelos'!C275</x:f>
        <x:v>0</x:v>
      </x:c>
      <x:c r="P274" s="15" t="n">
        <x:f>'Registro de vuelos'!E275</x:f>
        <x:v>0</x:v>
      </x:c>
      <x:c r="Q274" s="21" t="n">
        <x:f>'Registro de vuelos'!F275</x:f>
        <x:v>0</x:v>
      </x:c>
      <x:c r="R274" s="21" t="str">
        <x:f>IF(N274="","",IF(AND(COUNTIFS($N$3:$N$502,N274,$O$3:$O$502,O274,$P$3:$P$502,P274,$Q$3:$Q$502,"&gt;"&amp;Q274)=0,COUNTIFS($N$3:N274,N274,$O$3:O274,O274,$P$3:P274,P274,$Q$3:Q274,Q274)=1),1,0))</x:f>
      </x:c>
      <x:c r="S274" s="21" t="n">
        <x:f t="shared" si="6">IF(R274=1,Q274,0)</x:f>
        <x:v>0</x:v>
      </x:c>
      <x:c r="T274" s="15"/>
      <x:c r="U274" s="15"/>
      <x:c r="V274" s="15"/>
      <x:c r="W274" s="15"/>
      <x:c r="X274" s="15"/>
      <x:c r="Y274" s="15"/>
      <x:c r="Z274" s="14"/>
    </x:row>
    <x:row r="275" ht="14.399999618530273" customHeight="1">
      <x:c r="A275" s="14"/>
      <x:c r="B275" s="14"/>
      <x:c r="C275" s="14"/>
      <x:c r="D275" s="14"/>
      <x:c r="E275" s="14"/>
      <x:c r="F275" s="14"/>
      <x:c r="G275" s="14"/>
      <x:c r="H275" s="14"/>
      <x:c r="I275" s="14"/>
      <x:c r="J275" s="14"/>
      <x:c r="K275" s="14"/>
      <x:c r="L275" s="14"/>
      <x:c r="M275" s="14"/>
      <x:c r="N275" s="93" t="n">
        <x:f>'Registro de vuelos'!A276</x:f>
        <x:v>0</x:v>
      </x:c>
      <x:c r="O275" s="15" t="n">
        <x:f>'Registro de vuelos'!C276</x:f>
        <x:v>0</x:v>
      </x:c>
      <x:c r="P275" s="15" t="n">
        <x:f>'Registro de vuelos'!E276</x:f>
        <x:v>0</x:v>
      </x:c>
      <x:c r="Q275" s="21" t="n">
        <x:f>'Registro de vuelos'!F276</x:f>
        <x:v>0</x:v>
      </x:c>
      <x:c r="R275" s="21" t="str">
        <x:f>IF(N275="","",IF(AND(COUNTIFS($N$3:$N$502,N275,$O$3:$O$502,O275,$P$3:$P$502,P275,$Q$3:$Q$502,"&gt;"&amp;Q275)=0,COUNTIFS($N$3:N275,N275,$O$3:O275,O275,$P$3:P275,P275,$Q$3:Q275,Q275)=1),1,0))</x:f>
      </x:c>
      <x:c r="S275" s="21" t="n">
        <x:f t="shared" si="6">IF(R275=1,Q275,0)</x:f>
        <x:v>0</x:v>
      </x:c>
      <x:c r="T275" s="15"/>
      <x:c r="U275" s="15"/>
      <x:c r="V275" s="15"/>
      <x:c r="W275" s="15"/>
      <x:c r="X275" s="15"/>
      <x:c r="Y275" s="15"/>
      <x:c r="Z275" s="14"/>
    </x:row>
    <x:row r="276" ht="14.399999618530273" customHeight="1">
      <x:c r="A276" s="14"/>
      <x:c r="B276" s="14"/>
      <x:c r="C276" s="14"/>
      <x:c r="D276" s="14"/>
      <x:c r="E276" s="14"/>
      <x:c r="F276" s="14"/>
      <x:c r="G276" s="14"/>
      <x:c r="H276" s="14"/>
      <x:c r="I276" s="14"/>
      <x:c r="J276" s="14"/>
      <x:c r="K276" s="14"/>
      <x:c r="L276" s="14"/>
      <x:c r="M276" s="14"/>
      <x:c r="N276" s="93" t="n">
        <x:f>'Registro de vuelos'!A277</x:f>
        <x:v>0</x:v>
      </x:c>
      <x:c r="O276" s="15" t="n">
        <x:f>'Registro de vuelos'!C277</x:f>
        <x:v>0</x:v>
      </x:c>
      <x:c r="P276" s="15" t="n">
        <x:f>'Registro de vuelos'!E277</x:f>
        <x:v>0</x:v>
      </x:c>
      <x:c r="Q276" s="21" t="n">
        <x:f>'Registro de vuelos'!F277</x:f>
        <x:v>0</x:v>
      </x:c>
      <x:c r="R276" s="21" t="str">
        <x:f>IF(N276="","",IF(AND(COUNTIFS($N$3:$N$502,N276,$O$3:$O$502,O276,$P$3:$P$502,P276,$Q$3:$Q$502,"&gt;"&amp;Q276)=0,COUNTIFS($N$3:N276,N276,$O$3:O276,O276,$P$3:P276,P276,$Q$3:Q276,Q276)=1),1,0))</x:f>
      </x:c>
      <x:c r="S276" s="21" t="n">
        <x:f t="shared" si="6">IF(R276=1,Q276,0)</x:f>
        <x:v>0</x:v>
      </x:c>
      <x:c r="T276" s="15"/>
      <x:c r="U276" s="15"/>
      <x:c r="V276" s="15"/>
      <x:c r="W276" s="15"/>
      <x:c r="X276" s="15"/>
      <x:c r="Y276" s="15"/>
      <x:c r="Z276" s="14"/>
    </x:row>
    <x:row r="277" ht="14.399999618530273" customHeight="1">
      <x:c r="A277" s="14"/>
      <x:c r="B277" s="14"/>
      <x:c r="C277" s="14"/>
      <x:c r="D277" s="14"/>
      <x:c r="E277" s="14"/>
      <x:c r="F277" s="14"/>
      <x:c r="G277" s="14"/>
      <x:c r="H277" s="14"/>
      <x:c r="I277" s="14"/>
      <x:c r="J277" s="14"/>
      <x:c r="K277" s="14"/>
      <x:c r="L277" s="14"/>
      <x:c r="M277" s="14"/>
      <x:c r="N277" s="93" t="n">
        <x:f>'Registro de vuelos'!A278</x:f>
        <x:v>0</x:v>
      </x:c>
      <x:c r="O277" s="15" t="n">
        <x:f>'Registro de vuelos'!C278</x:f>
        <x:v>0</x:v>
      </x:c>
      <x:c r="P277" s="15" t="n">
        <x:f>'Registro de vuelos'!E278</x:f>
        <x:v>0</x:v>
      </x:c>
      <x:c r="Q277" s="21" t="n">
        <x:f>'Registro de vuelos'!F278</x:f>
        <x:v>0</x:v>
      </x:c>
      <x:c r="R277" s="21" t="str">
        <x:f>IF(N277="","",IF(AND(COUNTIFS($N$3:$N$502,N277,$O$3:$O$502,O277,$P$3:$P$502,P277,$Q$3:$Q$502,"&gt;"&amp;Q277)=0,COUNTIFS($N$3:N277,N277,$O$3:O277,O277,$P$3:P277,P277,$Q$3:Q277,Q277)=1),1,0))</x:f>
      </x:c>
      <x:c r="S277" s="21" t="n">
        <x:f t="shared" si="6">IF(R277=1,Q277,0)</x:f>
        <x:v>0</x:v>
      </x:c>
      <x:c r="T277" s="15"/>
      <x:c r="U277" s="15"/>
      <x:c r="V277" s="15"/>
      <x:c r="W277" s="15"/>
      <x:c r="X277" s="15"/>
      <x:c r="Y277" s="15"/>
      <x:c r="Z277" s="14"/>
    </x:row>
    <x:row r="278" ht="14.399999618530273" customHeight="1">
      <x:c r="A278" s="14"/>
      <x:c r="B278" s="14"/>
      <x:c r="C278" s="14"/>
      <x:c r="D278" s="14"/>
      <x:c r="E278" s="14"/>
      <x:c r="F278" s="14"/>
      <x:c r="G278" s="14"/>
      <x:c r="H278" s="14"/>
      <x:c r="I278" s="14"/>
      <x:c r="J278" s="14"/>
      <x:c r="K278" s="14"/>
      <x:c r="L278" s="14"/>
      <x:c r="M278" s="14"/>
      <x:c r="N278" s="93" t="n">
        <x:f>'Registro de vuelos'!A279</x:f>
        <x:v>0</x:v>
      </x:c>
      <x:c r="O278" s="15" t="n">
        <x:f>'Registro de vuelos'!C279</x:f>
        <x:v>0</x:v>
      </x:c>
      <x:c r="P278" s="15" t="n">
        <x:f>'Registro de vuelos'!E279</x:f>
        <x:v>0</x:v>
      </x:c>
      <x:c r="Q278" s="21" t="n">
        <x:f>'Registro de vuelos'!F279</x:f>
        <x:v>0</x:v>
      </x:c>
      <x:c r="R278" s="21" t="str">
        <x:f>IF(N278="","",IF(AND(COUNTIFS($N$3:$N$502,N278,$O$3:$O$502,O278,$P$3:$P$502,P278,$Q$3:$Q$502,"&gt;"&amp;Q278)=0,COUNTIFS($N$3:N278,N278,$O$3:O278,O278,$P$3:P278,P278,$Q$3:Q278,Q278)=1),1,0))</x:f>
      </x:c>
      <x:c r="S278" s="21" t="n">
        <x:f t="shared" si="6">IF(R278=1,Q278,0)</x:f>
        <x:v>0</x:v>
      </x:c>
      <x:c r="T278" s="15"/>
      <x:c r="U278" s="15"/>
      <x:c r="V278" s="15"/>
      <x:c r="W278" s="15"/>
      <x:c r="X278" s="15"/>
      <x:c r="Y278" s="15"/>
      <x:c r="Z278" s="14"/>
    </x:row>
    <x:row r="279" ht="14.399999618530273" customHeight="1">
      <x:c r="A279" s="14"/>
      <x:c r="B279" s="14"/>
      <x:c r="C279" s="14"/>
      <x:c r="D279" s="14"/>
      <x:c r="E279" s="14"/>
      <x:c r="F279" s="14"/>
      <x:c r="G279" s="14"/>
      <x:c r="H279" s="14"/>
      <x:c r="I279" s="14"/>
      <x:c r="J279" s="14"/>
      <x:c r="K279" s="14"/>
      <x:c r="L279" s="14"/>
      <x:c r="M279" s="14"/>
      <x:c r="N279" s="93" t="n">
        <x:f>'Registro de vuelos'!A280</x:f>
        <x:v>0</x:v>
      </x:c>
      <x:c r="O279" s="15" t="n">
        <x:f>'Registro de vuelos'!C280</x:f>
        <x:v>0</x:v>
      </x:c>
      <x:c r="P279" s="15" t="n">
        <x:f>'Registro de vuelos'!E280</x:f>
        <x:v>0</x:v>
      </x:c>
      <x:c r="Q279" s="21" t="n">
        <x:f>'Registro de vuelos'!F280</x:f>
        <x:v>0</x:v>
      </x:c>
      <x:c r="R279" s="21" t="str">
        <x:f>IF(N279="","",IF(AND(COUNTIFS($N$3:$N$502,N279,$O$3:$O$502,O279,$P$3:$P$502,P279,$Q$3:$Q$502,"&gt;"&amp;Q279)=0,COUNTIFS($N$3:N279,N279,$O$3:O279,O279,$P$3:P279,P279,$Q$3:Q279,Q279)=1),1,0))</x:f>
      </x:c>
      <x:c r="S279" s="21" t="n">
        <x:f t="shared" si="6">IF(R279=1,Q279,0)</x:f>
        <x:v>0</x:v>
      </x:c>
      <x:c r="T279" s="15"/>
      <x:c r="U279" s="15"/>
      <x:c r="V279" s="15"/>
      <x:c r="W279" s="15"/>
      <x:c r="X279" s="15"/>
      <x:c r="Y279" s="15"/>
      <x:c r="Z279" s="14"/>
    </x:row>
    <x:row r="280" ht="14.399999618530273" customHeight="1">
      <x:c r="A280" s="14"/>
      <x:c r="B280" s="14"/>
      <x:c r="C280" s="14"/>
      <x:c r="D280" s="14"/>
      <x:c r="E280" s="14"/>
      <x:c r="F280" s="14"/>
      <x:c r="G280" s="14"/>
      <x:c r="H280" s="14"/>
      <x:c r="I280" s="14"/>
      <x:c r="J280" s="14"/>
      <x:c r="K280" s="14"/>
      <x:c r="L280" s="14"/>
      <x:c r="M280" s="14"/>
      <x:c r="N280" s="93" t="n">
        <x:f>'Registro de vuelos'!A281</x:f>
        <x:v>0</x:v>
      </x:c>
      <x:c r="O280" s="15" t="n">
        <x:f>'Registro de vuelos'!C281</x:f>
        <x:v>0</x:v>
      </x:c>
      <x:c r="P280" s="15" t="n">
        <x:f>'Registro de vuelos'!E281</x:f>
        <x:v>0</x:v>
      </x:c>
      <x:c r="Q280" s="21" t="n">
        <x:f>'Registro de vuelos'!F281</x:f>
        <x:v>0</x:v>
      </x:c>
      <x:c r="R280" s="21" t="str">
        <x:f>IF(N280="","",IF(AND(COUNTIFS($N$3:$N$502,N280,$O$3:$O$502,O280,$P$3:$P$502,P280,$Q$3:$Q$502,"&gt;"&amp;Q280)=0,COUNTIFS($N$3:N280,N280,$O$3:O280,O280,$P$3:P280,P280,$Q$3:Q280,Q280)=1),1,0))</x:f>
      </x:c>
      <x:c r="S280" s="21" t="n">
        <x:f t="shared" si="6">IF(R280=1,Q280,0)</x:f>
        <x:v>0</x:v>
      </x:c>
      <x:c r="T280" s="15"/>
      <x:c r="U280" s="15"/>
      <x:c r="V280" s="15"/>
      <x:c r="W280" s="15"/>
      <x:c r="X280" s="15"/>
      <x:c r="Y280" s="15"/>
      <x:c r="Z280" s="14"/>
    </x:row>
    <x:row r="281" ht="14.399999618530273" customHeight="1">
      <x:c r="A281" s="14"/>
      <x:c r="B281" s="14"/>
      <x:c r="C281" s="14"/>
      <x:c r="D281" s="14"/>
      <x:c r="E281" s="14"/>
      <x:c r="F281" s="14"/>
      <x:c r="G281" s="14"/>
      <x:c r="H281" s="14"/>
      <x:c r="I281" s="14"/>
      <x:c r="J281" s="14"/>
      <x:c r="K281" s="14"/>
      <x:c r="L281" s="14"/>
      <x:c r="M281" s="14"/>
      <x:c r="N281" s="93" t="n">
        <x:f>'Registro de vuelos'!A282</x:f>
        <x:v>0</x:v>
      </x:c>
      <x:c r="O281" s="15" t="n">
        <x:f>'Registro de vuelos'!C282</x:f>
        <x:v>0</x:v>
      </x:c>
      <x:c r="P281" s="15" t="n">
        <x:f>'Registro de vuelos'!E282</x:f>
        <x:v>0</x:v>
      </x:c>
      <x:c r="Q281" s="21" t="n">
        <x:f>'Registro de vuelos'!F282</x:f>
        <x:v>0</x:v>
      </x:c>
      <x:c r="R281" s="21" t="str">
        <x:f>IF(N281="","",IF(AND(COUNTIFS($N$3:$N$502,N281,$O$3:$O$502,O281,$P$3:$P$502,P281,$Q$3:$Q$502,"&gt;"&amp;Q281)=0,COUNTIFS($N$3:N281,N281,$O$3:O281,O281,$P$3:P281,P281,$Q$3:Q281,Q281)=1),1,0))</x:f>
      </x:c>
      <x:c r="S281" s="21" t="n">
        <x:f t="shared" si="6">IF(R281=1,Q281,0)</x:f>
        <x:v>0</x:v>
      </x:c>
      <x:c r="T281" s="15"/>
      <x:c r="U281" s="15"/>
      <x:c r="V281" s="15"/>
      <x:c r="W281" s="15"/>
      <x:c r="X281" s="15"/>
      <x:c r="Y281" s="15"/>
      <x:c r="Z281" s="14"/>
    </x:row>
    <x:row r="282" ht="14.399999618530273" customHeight="1">
      <x:c r="A282" s="14"/>
      <x:c r="B282" s="14"/>
      <x:c r="C282" s="14"/>
      <x:c r="D282" s="14"/>
      <x:c r="E282" s="14"/>
      <x:c r="F282" s="14"/>
      <x:c r="G282" s="14"/>
      <x:c r="H282" s="14"/>
      <x:c r="I282" s="14"/>
      <x:c r="J282" s="14"/>
      <x:c r="K282" s="14"/>
      <x:c r="L282" s="14"/>
      <x:c r="M282" s="14"/>
      <x:c r="N282" s="93" t="n">
        <x:f>'Registro de vuelos'!A283</x:f>
        <x:v>0</x:v>
      </x:c>
      <x:c r="O282" s="15" t="n">
        <x:f>'Registro de vuelos'!C283</x:f>
        <x:v>0</x:v>
      </x:c>
      <x:c r="P282" s="15" t="n">
        <x:f>'Registro de vuelos'!E283</x:f>
        <x:v>0</x:v>
      </x:c>
      <x:c r="Q282" s="21" t="n">
        <x:f>'Registro de vuelos'!F283</x:f>
        <x:v>0</x:v>
      </x:c>
      <x:c r="R282" s="21" t="str">
        <x:f>IF(N282="","",IF(AND(COUNTIFS($N$3:$N$502,N282,$O$3:$O$502,O282,$P$3:$P$502,P282,$Q$3:$Q$502,"&gt;"&amp;Q282)=0,COUNTIFS($N$3:N282,N282,$O$3:O282,O282,$P$3:P282,P282,$Q$3:Q282,Q282)=1),1,0))</x:f>
      </x:c>
      <x:c r="S282" s="21" t="n">
        <x:f t="shared" si="6">IF(R282=1,Q282,0)</x:f>
        <x:v>0</x:v>
      </x:c>
      <x:c r="T282" s="15"/>
      <x:c r="U282" s="15"/>
      <x:c r="V282" s="15"/>
      <x:c r="W282" s="15"/>
      <x:c r="X282" s="15"/>
      <x:c r="Y282" s="15"/>
      <x:c r="Z282" s="14"/>
    </x:row>
    <x:row r="283" ht="14.399999618530273" customHeight="1">
      <x:c r="A283" s="14"/>
      <x:c r="B283" s="14"/>
      <x:c r="C283" s="14"/>
      <x:c r="D283" s="14"/>
      <x:c r="E283" s="14"/>
      <x:c r="F283" s="14"/>
      <x:c r="G283" s="14"/>
      <x:c r="H283" s="14"/>
      <x:c r="I283" s="14"/>
      <x:c r="J283" s="14"/>
      <x:c r="K283" s="14"/>
      <x:c r="L283" s="14"/>
      <x:c r="M283" s="14"/>
      <x:c r="N283" s="93" t="n">
        <x:f>'Registro de vuelos'!A284</x:f>
        <x:v>0</x:v>
      </x:c>
      <x:c r="O283" s="15" t="n">
        <x:f>'Registro de vuelos'!C284</x:f>
        <x:v>0</x:v>
      </x:c>
      <x:c r="P283" s="15" t="n">
        <x:f>'Registro de vuelos'!E284</x:f>
        <x:v>0</x:v>
      </x:c>
      <x:c r="Q283" s="21" t="n">
        <x:f>'Registro de vuelos'!F284</x:f>
        <x:v>0</x:v>
      </x:c>
      <x:c r="R283" s="21" t="str">
        <x:f>IF(N283="","",IF(AND(COUNTIFS($N$3:$N$502,N283,$O$3:$O$502,O283,$P$3:$P$502,P283,$Q$3:$Q$502,"&gt;"&amp;Q283)=0,COUNTIFS($N$3:N283,N283,$O$3:O283,O283,$P$3:P283,P283,$Q$3:Q283,Q283)=1),1,0))</x:f>
      </x:c>
      <x:c r="S283" s="21" t="n">
        <x:f t="shared" si="6">IF(R283=1,Q283,0)</x:f>
        <x:v>0</x:v>
      </x:c>
      <x:c r="T283" s="15"/>
      <x:c r="U283" s="15"/>
      <x:c r="V283" s="15"/>
      <x:c r="W283" s="15"/>
      <x:c r="X283" s="15"/>
      <x:c r="Y283" s="15"/>
      <x:c r="Z283" s="14"/>
    </x:row>
    <x:row r="284" ht="14.399999618530273" customHeight="1">
      <x:c r="A284" s="14"/>
      <x:c r="B284" s="14"/>
      <x:c r="C284" s="14"/>
      <x:c r="D284" s="14"/>
      <x:c r="E284" s="14"/>
      <x:c r="F284" s="14"/>
      <x:c r="G284" s="14"/>
      <x:c r="H284" s="14"/>
      <x:c r="I284" s="14"/>
      <x:c r="J284" s="14"/>
      <x:c r="K284" s="14"/>
      <x:c r="L284" s="14"/>
      <x:c r="M284" s="14"/>
      <x:c r="N284" s="93" t="n">
        <x:f>'Registro de vuelos'!A285</x:f>
        <x:v>0</x:v>
      </x:c>
      <x:c r="O284" s="15" t="n">
        <x:f>'Registro de vuelos'!C285</x:f>
        <x:v>0</x:v>
      </x:c>
      <x:c r="P284" s="15" t="n">
        <x:f>'Registro de vuelos'!E285</x:f>
        <x:v>0</x:v>
      </x:c>
      <x:c r="Q284" s="21" t="n">
        <x:f>'Registro de vuelos'!F285</x:f>
        <x:v>0</x:v>
      </x:c>
      <x:c r="R284" s="21" t="str">
        <x:f>IF(N284="","",IF(AND(COUNTIFS($N$3:$N$502,N284,$O$3:$O$502,O284,$P$3:$P$502,P284,$Q$3:$Q$502,"&gt;"&amp;Q284)=0,COUNTIFS($N$3:N284,N284,$O$3:O284,O284,$P$3:P284,P284,$Q$3:Q284,Q284)=1),1,0))</x:f>
      </x:c>
      <x:c r="S284" s="21" t="n">
        <x:f t="shared" si="6">IF(R284=1,Q284,0)</x:f>
        <x:v>0</x:v>
      </x:c>
      <x:c r="T284" s="15"/>
      <x:c r="U284" s="15"/>
      <x:c r="V284" s="15"/>
      <x:c r="W284" s="15"/>
      <x:c r="X284" s="15"/>
      <x:c r="Y284" s="15"/>
      <x:c r="Z284" s="14"/>
    </x:row>
    <x:row r="285" ht="14.399999618530273" customHeight="1">
      <x:c r="A285" s="14"/>
      <x:c r="B285" s="14"/>
      <x:c r="C285" s="14"/>
      <x:c r="D285" s="14"/>
      <x:c r="E285" s="14"/>
      <x:c r="F285" s="14"/>
      <x:c r="G285" s="14"/>
      <x:c r="H285" s="14"/>
      <x:c r="I285" s="14"/>
      <x:c r="J285" s="14"/>
      <x:c r="K285" s="14"/>
      <x:c r="L285" s="14"/>
      <x:c r="M285" s="14"/>
      <x:c r="N285" s="93" t="n">
        <x:f>'Registro de vuelos'!A286</x:f>
        <x:v>0</x:v>
      </x:c>
      <x:c r="O285" s="15" t="n">
        <x:f>'Registro de vuelos'!C286</x:f>
        <x:v>0</x:v>
      </x:c>
      <x:c r="P285" s="15" t="n">
        <x:f>'Registro de vuelos'!E286</x:f>
        <x:v>0</x:v>
      </x:c>
      <x:c r="Q285" s="21" t="n">
        <x:f>'Registro de vuelos'!F286</x:f>
        <x:v>0</x:v>
      </x:c>
      <x:c r="R285" s="21" t="str">
        <x:f>IF(N285="","",IF(AND(COUNTIFS($N$3:$N$502,N285,$O$3:$O$502,O285,$P$3:$P$502,P285,$Q$3:$Q$502,"&gt;"&amp;Q285)=0,COUNTIFS($N$3:N285,N285,$O$3:O285,O285,$P$3:P285,P285,$Q$3:Q285,Q285)=1),1,0))</x:f>
      </x:c>
      <x:c r="S285" s="21" t="n">
        <x:f t="shared" si="6">IF(R285=1,Q285,0)</x:f>
        <x:v>0</x:v>
      </x:c>
      <x:c r="T285" s="15"/>
      <x:c r="U285" s="15"/>
      <x:c r="V285" s="15"/>
      <x:c r="W285" s="15"/>
      <x:c r="X285" s="15"/>
      <x:c r="Y285" s="15"/>
      <x:c r="Z285" s="14"/>
    </x:row>
    <x:row r="286" ht="14.399999618530273" customHeight="1">
      <x:c r="A286" s="14"/>
      <x:c r="B286" s="14"/>
      <x:c r="C286" s="14"/>
      <x:c r="D286" s="14"/>
      <x:c r="E286" s="14"/>
      <x:c r="F286" s="14"/>
      <x:c r="G286" s="14"/>
      <x:c r="H286" s="14"/>
      <x:c r="I286" s="14"/>
      <x:c r="J286" s="14"/>
      <x:c r="K286" s="14"/>
      <x:c r="L286" s="14"/>
      <x:c r="M286" s="14"/>
      <x:c r="N286" s="93" t="n">
        <x:f>'Registro de vuelos'!A287</x:f>
        <x:v>0</x:v>
      </x:c>
      <x:c r="O286" s="15" t="n">
        <x:f>'Registro de vuelos'!C287</x:f>
        <x:v>0</x:v>
      </x:c>
      <x:c r="P286" s="15" t="n">
        <x:f>'Registro de vuelos'!E287</x:f>
        <x:v>0</x:v>
      </x:c>
      <x:c r="Q286" s="21" t="n">
        <x:f>'Registro de vuelos'!F287</x:f>
        <x:v>0</x:v>
      </x:c>
      <x:c r="R286" s="21" t="str">
        <x:f>IF(N286="","",IF(AND(COUNTIFS($N$3:$N$502,N286,$O$3:$O$502,O286,$P$3:$P$502,P286,$Q$3:$Q$502,"&gt;"&amp;Q286)=0,COUNTIFS($N$3:N286,N286,$O$3:O286,O286,$P$3:P286,P286,$Q$3:Q286,Q286)=1),1,0))</x:f>
      </x:c>
      <x:c r="S286" s="21" t="n">
        <x:f t="shared" si="6">IF(R286=1,Q286,0)</x:f>
        <x:v>0</x:v>
      </x:c>
      <x:c r="T286" s="15"/>
      <x:c r="U286" s="15"/>
      <x:c r="V286" s="15"/>
      <x:c r="W286" s="15"/>
      <x:c r="X286" s="15"/>
      <x:c r="Y286" s="15"/>
      <x:c r="Z286" s="14"/>
    </x:row>
    <x:row r="287" ht="14.399999618530273" customHeight="1">
      <x:c r="A287" s="14"/>
      <x:c r="B287" s="14"/>
      <x:c r="C287" s="14"/>
      <x:c r="D287" s="14"/>
      <x:c r="E287" s="14"/>
      <x:c r="F287" s="14"/>
      <x:c r="G287" s="14"/>
      <x:c r="H287" s="14"/>
      <x:c r="I287" s="14"/>
      <x:c r="J287" s="14"/>
      <x:c r="K287" s="14"/>
      <x:c r="L287" s="14"/>
      <x:c r="M287" s="14"/>
      <x:c r="N287" s="93" t="n">
        <x:f>'Registro de vuelos'!A288</x:f>
        <x:v>0</x:v>
      </x:c>
      <x:c r="O287" s="15" t="n">
        <x:f>'Registro de vuelos'!C288</x:f>
        <x:v>0</x:v>
      </x:c>
      <x:c r="P287" s="15" t="n">
        <x:f>'Registro de vuelos'!E288</x:f>
        <x:v>0</x:v>
      </x:c>
      <x:c r="Q287" s="21" t="n">
        <x:f>'Registro de vuelos'!F288</x:f>
        <x:v>0</x:v>
      </x:c>
      <x:c r="R287" s="21" t="str">
        <x:f>IF(N287="","",IF(AND(COUNTIFS($N$3:$N$502,N287,$O$3:$O$502,O287,$P$3:$P$502,P287,$Q$3:$Q$502,"&gt;"&amp;Q287)=0,COUNTIFS($N$3:N287,N287,$O$3:O287,O287,$P$3:P287,P287,$Q$3:Q287,Q287)=1),1,0))</x:f>
      </x:c>
      <x:c r="S287" s="21" t="n">
        <x:f t="shared" si="6">IF(R287=1,Q287,0)</x:f>
        <x:v>0</x:v>
      </x:c>
      <x:c r="T287" s="15"/>
      <x:c r="U287" s="15"/>
      <x:c r="V287" s="15"/>
      <x:c r="W287" s="15"/>
      <x:c r="X287" s="15"/>
      <x:c r="Y287" s="15"/>
      <x:c r="Z287" s="14"/>
    </x:row>
    <x:row r="288" ht="14.399999618530273" customHeight="1">
      <x:c r="A288" s="14"/>
      <x:c r="B288" s="14"/>
      <x:c r="C288" s="14"/>
      <x:c r="D288" s="14"/>
      <x:c r="E288" s="14"/>
      <x:c r="F288" s="14"/>
      <x:c r="G288" s="14"/>
      <x:c r="H288" s="14"/>
      <x:c r="I288" s="14"/>
      <x:c r="J288" s="14"/>
      <x:c r="K288" s="14"/>
      <x:c r="L288" s="14"/>
      <x:c r="M288" s="14"/>
      <x:c r="N288" s="93" t="n">
        <x:f>'Registro de vuelos'!A289</x:f>
        <x:v>0</x:v>
      </x:c>
      <x:c r="O288" s="15" t="n">
        <x:f>'Registro de vuelos'!C289</x:f>
        <x:v>0</x:v>
      </x:c>
      <x:c r="P288" s="15" t="n">
        <x:f>'Registro de vuelos'!E289</x:f>
        <x:v>0</x:v>
      </x:c>
      <x:c r="Q288" s="21" t="n">
        <x:f>'Registro de vuelos'!F289</x:f>
        <x:v>0</x:v>
      </x:c>
      <x:c r="R288" s="21" t="str">
        <x:f>IF(N288="","",IF(AND(COUNTIFS($N$3:$N$502,N288,$O$3:$O$502,O288,$P$3:$P$502,P288,$Q$3:$Q$502,"&gt;"&amp;Q288)=0,COUNTIFS($N$3:N288,N288,$O$3:O288,O288,$P$3:P288,P288,$Q$3:Q288,Q288)=1),1,0))</x:f>
      </x:c>
      <x:c r="S288" s="21" t="n">
        <x:f t="shared" si="6">IF(R288=1,Q288,0)</x:f>
        <x:v>0</x:v>
      </x:c>
      <x:c r="T288" s="15"/>
      <x:c r="U288" s="15"/>
      <x:c r="V288" s="15"/>
      <x:c r="W288" s="15"/>
      <x:c r="X288" s="15"/>
      <x:c r="Y288" s="15"/>
      <x:c r="Z288" s="14"/>
    </x:row>
    <x:row r="289" ht="14.399999618530273" customHeight="1">
      <x:c r="A289" s="14"/>
      <x:c r="B289" s="14"/>
      <x:c r="C289" s="14"/>
      <x:c r="D289" s="14"/>
      <x:c r="E289" s="14"/>
      <x:c r="F289" s="14"/>
      <x:c r="G289" s="14"/>
      <x:c r="H289" s="14"/>
      <x:c r="I289" s="14"/>
      <x:c r="J289" s="14"/>
      <x:c r="K289" s="14"/>
      <x:c r="L289" s="14"/>
      <x:c r="M289" s="14"/>
      <x:c r="N289" s="93" t="n">
        <x:f>'Registro de vuelos'!A290</x:f>
        <x:v>0</x:v>
      </x:c>
      <x:c r="O289" s="15" t="n">
        <x:f>'Registro de vuelos'!C290</x:f>
        <x:v>0</x:v>
      </x:c>
      <x:c r="P289" s="15" t="n">
        <x:f>'Registro de vuelos'!E290</x:f>
        <x:v>0</x:v>
      </x:c>
      <x:c r="Q289" s="21" t="n">
        <x:f>'Registro de vuelos'!F290</x:f>
        <x:v>0</x:v>
      </x:c>
      <x:c r="R289" s="21" t="str">
        <x:f>IF(N289="","",IF(AND(COUNTIFS($N$3:$N$502,N289,$O$3:$O$502,O289,$P$3:$P$502,P289,$Q$3:$Q$502,"&gt;"&amp;Q289)=0,COUNTIFS($N$3:N289,N289,$O$3:O289,O289,$P$3:P289,P289,$Q$3:Q289,Q289)=1),1,0))</x:f>
      </x:c>
      <x:c r="S289" s="21" t="n">
        <x:f t="shared" si="6">IF(R289=1,Q289,0)</x:f>
        <x:v>0</x:v>
      </x:c>
      <x:c r="T289" s="15"/>
      <x:c r="U289" s="15"/>
      <x:c r="V289" s="15"/>
      <x:c r="W289" s="15"/>
      <x:c r="X289" s="15"/>
      <x:c r="Y289" s="15"/>
      <x:c r="Z289" s="14"/>
    </x:row>
    <x:row r="290" ht="14.399999618530273" customHeight="1">
      <x:c r="A290" s="14"/>
      <x:c r="B290" s="14"/>
      <x:c r="C290" s="14"/>
      <x:c r="D290" s="14"/>
      <x:c r="E290" s="14"/>
      <x:c r="F290" s="14"/>
      <x:c r="G290" s="14"/>
      <x:c r="H290" s="14"/>
      <x:c r="I290" s="14"/>
      <x:c r="J290" s="14"/>
      <x:c r="K290" s="14"/>
      <x:c r="L290" s="14"/>
      <x:c r="M290" s="14"/>
      <x:c r="N290" s="93" t="n">
        <x:f>'Registro de vuelos'!A291</x:f>
        <x:v>0</x:v>
      </x:c>
      <x:c r="O290" s="15" t="n">
        <x:f>'Registro de vuelos'!C291</x:f>
        <x:v>0</x:v>
      </x:c>
      <x:c r="P290" s="15" t="n">
        <x:f>'Registro de vuelos'!E291</x:f>
        <x:v>0</x:v>
      </x:c>
      <x:c r="Q290" s="21" t="n">
        <x:f>'Registro de vuelos'!F291</x:f>
        <x:v>0</x:v>
      </x:c>
      <x:c r="R290" s="21" t="str">
        <x:f>IF(N290="","",IF(AND(COUNTIFS($N$3:$N$502,N290,$O$3:$O$502,O290,$P$3:$P$502,P290,$Q$3:$Q$502,"&gt;"&amp;Q290)=0,COUNTIFS($N$3:N290,N290,$O$3:O290,O290,$P$3:P290,P290,$Q$3:Q290,Q290)=1),1,0))</x:f>
      </x:c>
      <x:c r="S290" s="21" t="n">
        <x:f t="shared" si="6">IF(R290=1,Q290,0)</x:f>
        <x:v>0</x:v>
      </x:c>
      <x:c r="T290" s="15"/>
      <x:c r="U290" s="15"/>
      <x:c r="V290" s="15"/>
      <x:c r="W290" s="15"/>
      <x:c r="X290" s="15"/>
      <x:c r="Y290" s="15"/>
      <x:c r="Z290" s="14"/>
    </x:row>
    <x:row r="291" ht="14.399999618530273" customHeight="1">
      <x:c r="A291" s="14"/>
      <x:c r="B291" s="14"/>
      <x:c r="C291" s="14"/>
      <x:c r="D291" s="14"/>
      <x:c r="E291" s="14"/>
      <x:c r="F291" s="14"/>
      <x:c r="G291" s="14"/>
      <x:c r="H291" s="14"/>
      <x:c r="I291" s="14"/>
      <x:c r="J291" s="14"/>
      <x:c r="K291" s="14"/>
      <x:c r="L291" s="14"/>
      <x:c r="M291" s="14"/>
      <x:c r="N291" s="93" t="n">
        <x:f>'Registro de vuelos'!A292</x:f>
        <x:v>0</x:v>
      </x:c>
      <x:c r="O291" s="15" t="n">
        <x:f>'Registro de vuelos'!C292</x:f>
        <x:v>0</x:v>
      </x:c>
      <x:c r="P291" s="15" t="n">
        <x:f>'Registro de vuelos'!E292</x:f>
        <x:v>0</x:v>
      </x:c>
      <x:c r="Q291" s="21" t="n">
        <x:f>'Registro de vuelos'!F292</x:f>
        <x:v>0</x:v>
      </x:c>
      <x:c r="R291" s="21" t="str">
        <x:f>IF(N291="","",IF(AND(COUNTIFS($N$3:$N$502,N291,$O$3:$O$502,O291,$P$3:$P$502,P291,$Q$3:$Q$502,"&gt;"&amp;Q291)=0,COUNTIFS($N$3:N291,N291,$O$3:O291,O291,$P$3:P291,P291,$Q$3:Q291,Q291)=1),1,0))</x:f>
      </x:c>
      <x:c r="S291" s="21" t="n">
        <x:f t="shared" si="6">IF(R291=1,Q291,0)</x:f>
        <x:v>0</x:v>
      </x:c>
      <x:c r="T291" s="15"/>
      <x:c r="U291" s="15"/>
      <x:c r="V291" s="15"/>
      <x:c r="W291" s="15"/>
      <x:c r="X291" s="15"/>
      <x:c r="Y291" s="15"/>
      <x:c r="Z291" s="14"/>
    </x:row>
    <x:row r="292" ht="14.399999618530273" customHeight="1">
      <x:c r="A292" s="14"/>
      <x:c r="B292" s="14"/>
      <x:c r="C292" s="14"/>
      <x:c r="D292" s="14"/>
      <x:c r="E292" s="14"/>
      <x:c r="F292" s="14"/>
      <x:c r="G292" s="14"/>
      <x:c r="H292" s="14"/>
      <x:c r="I292" s="14"/>
      <x:c r="J292" s="14"/>
      <x:c r="K292" s="14"/>
      <x:c r="L292" s="14"/>
      <x:c r="M292" s="14"/>
      <x:c r="N292" s="93" t="n">
        <x:f>'Registro de vuelos'!A293</x:f>
        <x:v>0</x:v>
      </x:c>
      <x:c r="O292" s="15" t="n">
        <x:f>'Registro de vuelos'!C293</x:f>
        <x:v>0</x:v>
      </x:c>
      <x:c r="P292" s="15" t="n">
        <x:f>'Registro de vuelos'!E293</x:f>
        <x:v>0</x:v>
      </x:c>
      <x:c r="Q292" s="21" t="n">
        <x:f>'Registro de vuelos'!F293</x:f>
        <x:v>0</x:v>
      </x:c>
      <x:c r="R292" s="21" t="str">
        <x:f>IF(N292="","",IF(AND(COUNTIFS($N$3:$N$502,N292,$O$3:$O$502,O292,$P$3:$P$502,P292,$Q$3:$Q$502,"&gt;"&amp;Q292)=0,COUNTIFS($N$3:N292,N292,$O$3:O292,O292,$P$3:P292,P292,$Q$3:Q292,Q292)=1),1,0))</x:f>
      </x:c>
      <x:c r="S292" s="21" t="n">
        <x:f t="shared" si="6">IF(R292=1,Q292,0)</x:f>
        <x:v>0</x:v>
      </x:c>
      <x:c r="T292" s="15"/>
      <x:c r="U292" s="15"/>
      <x:c r="V292" s="15"/>
      <x:c r="W292" s="15"/>
      <x:c r="X292" s="15"/>
      <x:c r="Y292" s="15"/>
      <x:c r="Z292" s="14"/>
    </x:row>
    <x:row r="293" ht="14.399999618530273" customHeight="1">
      <x:c r="A293" s="14"/>
      <x:c r="B293" s="14"/>
      <x:c r="C293" s="14"/>
      <x:c r="D293" s="14"/>
      <x:c r="E293" s="14"/>
      <x:c r="F293" s="14"/>
      <x:c r="G293" s="14"/>
      <x:c r="H293" s="14"/>
      <x:c r="I293" s="14"/>
      <x:c r="J293" s="14"/>
      <x:c r="K293" s="14"/>
      <x:c r="L293" s="14"/>
      <x:c r="M293" s="14"/>
      <x:c r="N293" s="93" t="n">
        <x:f>'Registro de vuelos'!A294</x:f>
        <x:v>0</x:v>
      </x:c>
      <x:c r="O293" s="15" t="n">
        <x:f>'Registro de vuelos'!C294</x:f>
        <x:v>0</x:v>
      </x:c>
      <x:c r="P293" s="15" t="n">
        <x:f>'Registro de vuelos'!E294</x:f>
        <x:v>0</x:v>
      </x:c>
      <x:c r="Q293" s="21" t="n">
        <x:f>'Registro de vuelos'!F294</x:f>
        <x:v>0</x:v>
      </x:c>
      <x:c r="R293" s="21" t="str">
        <x:f>IF(N293="","",IF(AND(COUNTIFS($N$3:$N$502,N293,$O$3:$O$502,O293,$P$3:$P$502,P293,$Q$3:$Q$502,"&gt;"&amp;Q293)=0,COUNTIFS($N$3:N293,N293,$O$3:O293,O293,$P$3:P293,P293,$Q$3:Q293,Q293)=1),1,0))</x:f>
      </x:c>
      <x:c r="S293" s="21" t="n">
        <x:f t="shared" si="6">IF(R293=1,Q293,0)</x:f>
        <x:v>0</x:v>
      </x:c>
      <x:c r="T293" s="15"/>
      <x:c r="U293" s="15"/>
      <x:c r="V293" s="15"/>
      <x:c r="W293" s="15"/>
      <x:c r="X293" s="15"/>
      <x:c r="Y293" s="15"/>
      <x:c r="Z293" s="14"/>
    </x:row>
    <x:row r="294" ht="14.399999618530273" customHeight="1">
      <x:c r="A294" s="14"/>
      <x:c r="B294" s="14"/>
      <x:c r="C294" s="14"/>
      <x:c r="D294" s="14"/>
      <x:c r="E294" s="14"/>
      <x:c r="F294" s="14"/>
      <x:c r="G294" s="14"/>
      <x:c r="H294" s="14"/>
      <x:c r="I294" s="14"/>
      <x:c r="J294" s="14"/>
      <x:c r="K294" s="14"/>
      <x:c r="L294" s="14"/>
      <x:c r="M294" s="14"/>
      <x:c r="N294" s="93" t="n">
        <x:f>'Registro de vuelos'!A295</x:f>
        <x:v>0</x:v>
      </x:c>
      <x:c r="O294" s="15" t="n">
        <x:f>'Registro de vuelos'!C295</x:f>
        <x:v>0</x:v>
      </x:c>
      <x:c r="P294" s="15" t="n">
        <x:f>'Registro de vuelos'!E295</x:f>
        <x:v>0</x:v>
      </x:c>
      <x:c r="Q294" s="21" t="n">
        <x:f>'Registro de vuelos'!F295</x:f>
        <x:v>0</x:v>
      </x:c>
      <x:c r="R294" s="21" t="str">
        <x:f>IF(N294="","",IF(AND(COUNTIFS($N$3:$N$502,N294,$O$3:$O$502,O294,$P$3:$P$502,P294,$Q$3:$Q$502,"&gt;"&amp;Q294)=0,COUNTIFS($N$3:N294,N294,$O$3:O294,O294,$P$3:P294,P294,$Q$3:Q294,Q294)=1),1,0))</x:f>
      </x:c>
      <x:c r="S294" s="21" t="n">
        <x:f t="shared" si="6">IF(R294=1,Q294,0)</x:f>
        <x:v>0</x:v>
      </x:c>
      <x:c r="T294" s="15"/>
      <x:c r="U294" s="15"/>
      <x:c r="V294" s="15"/>
      <x:c r="W294" s="15"/>
      <x:c r="X294" s="15"/>
      <x:c r="Y294" s="15"/>
      <x:c r="Z294" s="14"/>
    </x:row>
    <x:row r="295" ht="14.399999618530273" customHeight="1">
      <x:c r="A295" s="14"/>
      <x:c r="B295" s="14"/>
      <x:c r="C295" s="14"/>
      <x:c r="D295" s="14"/>
      <x:c r="E295" s="14"/>
      <x:c r="F295" s="14"/>
      <x:c r="G295" s="14"/>
      <x:c r="H295" s="14"/>
      <x:c r="I295" s="14"/>
      <x:c r="J295" s="14"/>
      <x:c r="K295" s="14"/>
      <x:c r="L295" s="14"/>
      <x:c r="M295" s="14"/>
      <x:c r="N295" s="93" t="n">
        <x:f>'Registro de vuelos'!A296</x:f>
        <x:v>0</x:v>
      </x:c>
      <x:c r="O295" s="15" t="n">
        <x:f>'Registro de vuelos'!C296</x:f>
        <x:v>0</x:v>
      </x:c>
      <x:c r="P295" s="15" t="n">
        <x:f>'Registro de vuelos'!E296</x:f>
        <x:v>0</x:v>
      </x:c>
      <x:c r="Q295" s="21" t="n">
        <x:f>'Registro de vuelos'!F296</x:f>
        <x:v>0</x:v>
      </x:c>
      <x:c r="R295" s="21" t="str">
        <x:f>IF(N295="","",IF(AND(COUNTIFS($N$3:$N$502,N295,$O$3:$O$502,O295,$P$3:$P$502,P295,$Q$3:$Q$502,"&gt;"&amp;Q295)=0,COUNTIFS($N$3:N295,N295,$O$3:O295,O295,$P$3:P295,P295,$Q$3:Q295,Q295)=1),1,0))</x:f>
      </x:c>
      <x:c r="S295" s="21" t="n">
        <x:f t="shared" si="6">IF(R295=1,Q295,0)</x:f>
        <x:v>0</x:v>
      </x:c>
      <x:c r="T295" s="15"/>
      <x:c r="U295" s="15"/>
      <x:c r="V295" s="15"/>
      <x:c r="W295" s="15"/>
      <x:c r="X295" s="15"/>
      <x:c r="Y295" s="15"/>
      <x:c r="Z295" s="14"/>
    </x:row>
    <x:row r="296" ht="14.399999618530273" customHeight="1">
      <x:c r="A296" s="14"/>
      <x:c r="B296" s="14"/>
      <x:c r="C296" s="14"/>
      <x:c r="D296" s="14"/>
      <x:c r="E296" s="14"/>
      <x:c r="F296" s="14"/>
      <x:c r="G296" s="14"/>
      <x:c r="H296" s="14"/>
      <x:c r="I296" s="14"/>
      <x:c r="J296" s="14"/>
      <x:c r="K296" s="14"/>
      <x:c r="L296" s="14"/>
      <x:c r="M296" s="14"/>
      <x:c r="N296" s="93" t="n">
        <x:f>'Registro de vuelos'!A297</x:f>
        <x:v>0</x:v>
      </x:c>
      <x:c r="O296" s="15" t="n">
        <x:f>'Registro de vuelos'!C297</x:f>
        <x:v>0</x:v>
      </x:c>
      <x:c r="P296" s="15" t="n">
        <x:f>'Registro de vuelos'!E297</x:f>
        <x:v>0</x:v>
      </x:c>
      <x:c r="Q296" s="21" t="n">
        <x:f>'Registro de vuelos'!F297</x:f>
        <x:v>0</x:v>
      </x:c>
      <x:c r="R296" s="21" t="str">
        <x:f>IF(N296="","",IF(AND(COUNTIFS($N$3:$N$502,N296,$O$3:$O$502,O296,$P$3:$P$502,P296,$Q$3:$Q$502,"&gt;"&amp;Q296)=0,COUNTIFS($N$3:N296,N296,$O$3:O296,O296,$P$3:P296,P296,$Q$3:Q296,Q296)=1),1,0))</x:f>
      </x:c>
      <x:c r="S296" s="21" t="n">
        <x:f t="shared" si="6">IF(R296=1,Q296,0)</x:f>
        <x:v>0</x:v>
      </x:c>
      <x:c r="T296" s="15"/>
      <x:c r="U296" s="15"/>
      <x:c r="V296" s="15"/>
      <x:c r="W296" s="15"/>
      <x:c r="X296" s="15"/>
      <x:c r="Y296" s="15"/>
      <x:c r="Z296" s="14"/>
    </x:row>
    <x:row r="297" ht="14.399999618530273" customHeight="1">
      <x:c r="A297" s="14"/>
      <x:c r="B297" s="14"/>
      <x:c r="C297" s="14"/>
      <x:c r="D297" s="14"/>
      <x:c r="E297" s="14"/>
      <x:c r="F297" s="14"/>
      <x:c r="G297" s="14"/>
      <x:c r="H297" s="14"/>
      <x:c r="I297" s="14"/>
      <x:c r="J297" s="14"/>
      <x:c r="K297" s="14"/>
      <x:c r="L297" s="14"/>
      <x:c r="M297" s="14"/>
      <x:c r="N297" s="93" t="n">
        <x:f>'Registro de vuelos'!A298</x:f>
        <x:v>0</x:v>
      </x:c>
      <x:c r="O297" s="15" t="n">
        <x:f>'Registro de vuelos'!C298</x:f>
        <x:v>0</x:v>
      </x:c>
      <x:c r="P297" s="15" t="n">
        <x:f>'Registro de vuelos'!E298</x:f>
        <x:v>0</x:v>
      </x:c>
      <x:c r="Q297" s="21" t="n">
        <x:f>'Registro de vuelos'!F298</x:f>
        <x:v>0</x:v>
      </x:c>
      <x:c r="R297" s="21" t="str">
        <x:f>IF(N297="","",IF(AND(COUNTIFS($N$3:$N$502,N297,$O$3:$O$502,O297,$P$3:$P$502,P297,$Q$3:$Q$502,"&gt;"&amp;Q297)=0,COUNTIFS($N$3:N297,N297,$O$3:O297,O297,$P$3:P297,P297,$Q$3:Q297,Q297)=1),1,0))</x:f>
      </x:c>
      <x:c r="S297" s="21" t="n">
        <x:f t="shared" si="6">IF(R297=1,Q297,0)</x:f>
        <x:v>0</x:v>
      </x:c>
      <x:c r="T297" s="15"/>
      <x:c r="U297" s="15"/>
      <x:c r="V297" s="15"/>
      <x:c r="W297" s="15"/>
      <x:c r="X297" s="15"/>
      <x:c r="Y297" s="15"/>
      <x:c r="Z297" s="14"/>
    </x:row>
    <x:row r="298" ht="14.399999618530273" customHeight="1">
      <x:c r="A298" s="14"/>
      <x:c r="B298" s="14"/>
      <x:c r="C298" s="14"/>
      <x:c r="D298" s="14"/>
      <x:c r="E298" s="14"/>
      <x:c r="F298" s="14"/>
      <x:c r="G298" s="14"/>
      <x:c r="H298" s="14"/>
      <x:c r="I298" s="14"/>
      <x:c r="J298" s="14"/>
      <x:c r="K298" s="14"/>
      <x:c r="L298" s="14"/>
      <x:c r="M298" s="14"/>
      <x:c r="N298" s="93" t="n">
        <x:f>'Registro de vuelos'!A299</x:f>
        <x:v>0</x:v>
      </x:c>
      <x:c r="O298" s="15" t="n">
        <x:f>'Registro de vuelos'!C299</x:f>
        <x:v>0</x:v>
      </x:c>
      <x:c r="P298" s="15" t="n">
        <x:f>'Registro de vuelos'!E299</x:f>
        <x:v>0</x:v>
      </x:c>
      <x:c r="Q298" s="21" t="n">
        <x:f>'Registro de vuelos'!F299</x:f>
        <x:v>0</x:v>
      </x:c>
      <x:c r="R298" s="21" t="str">
        <x:f>IF(N298="","",IF(AND(COUNTIFS($N$3:$N$502,N298,$O$3:$O$502,O298,$P$3:$P$502,P298,$Q$3:$Q$502,"&gt;"&amp;Q298)=0,COUNTIFS($N$3:N298,N298,$O$3:O298,O298,$P$3:P298,P298,$Q$3:Q298,Q298)=1),1,0))</x:f>
      </x:c>
      <x:c r="S298" s="21" t="n">
        <x:f t="shared" si="6">IF(R298=1,Q298,0)</x:f>
        <x:v>0</x:v>
      </x:c>
      <x:c r="T298" s="15"/>
      <x:c r="U298" s="15"/>
      <x:c r="V298" s="15"/>
      <x:c r="W298" s="15"/>
      <x:c r="X298" s="15"/>
      <x:c r="Y298" s="15"/>
      <x:c r="Z298" s="14"/>
    </x:row>
    <x:row r="299" ht="14.399999618530273" customHeight="1">
      <x:c r="A299" s="14"/>
      <x:c r="B299" s="14"/>
      <x:c r="C299" s="14"/>
      <x:c r="D299" s="14"/>
      <x:c r="E299" s="14"/>
      <x:c r="F299" s="14"/>
      <x:c r="G299" s="14"/>
      <x:c r="H299" s="14"/>
      <x:c r="I299" s="14"/>
      <x:c r="J299" s="14"/>
      <x:c r="K299" s="14"/>
      <x:c r="L299" s="14"/>
      <x:c r="M299" s="14"/>
      <x:c r="N299" s="93" t="n">
        <x:f>'Registro de vuelos'!A300</x:f>
        <x:v>0</x:v>
      </x:c>
      <x:c r="O299" s="15" t="n">
        <x:f>'Registro de vuelos'!C300</x:f>
        <x:v>0</x:v>
      </x:c>
      <x:c r="P299" s="15" t="n">
        <x:f>'Registro de vuelos'!E300</x:f>
        <x:v>0</x:v>
      </x:c>
      <x:c r="Q299" s="21" t="n">
        <x:f>'Registro de vuelos'!F300</x:f>
        <x:v>0</x:v>
      </x:c>
      <x:c r="R299" s="21" t="str">
        <x:f>IF(N299="","",IF(AND(COUNTIFS($N$3:$N$502,N299,$O$3:$O$502,O299,$P$3:$P$502,P299,$Q$3:$Q$502,"&gt;"&amp;Q299)=0,COUNTIFS($N$3:N299,N299,$O$3:O299,O299,$P$3:P299,P299,$Q$3:Q299,Q299)=1),1,0))</x:f>
      </x:c>
      <x:c r="S299" s="21" t="n">
        <x:f t="shared" si="6">IF(R299=1,Q299,0)</x:f>
        <x:v>0</x:v>
      </x:c>
      <x:c r="T299" s="15"/>
      <x:c r="U299" s="15"/>
      <x:c r="V299" s="15"/>
      <x:c r="W299" s="15"/>
      <x:c r="X299" s="15"/>
      <x:c r="Y299" s="15"/>
      <x:c r="Z299" s="14"/>
    </x:row>
    <x:row r="300" ht="14.399999618530273" customHeight="1">
      <x:c r="A300" s="14"/>
      <x:c r="B300" s="14"/>
      <x:c r="C300" s="14"/>
      <x:c r="D300" s="14"/>
      <x:c r="E300" s="14"/>
      <x:c r="F300" s="14"/>
      <x:c r="G300" s="14"/>
      <x:c r="H300" s="14"/>
      <x:c r="I300" s="14"/>
      <x:c r="J300" s="14"/>
      <x:c r="K300" s="14"/>
      <x:c r="L300" s="14"/>
      <x:c r="M300" s="14"/>
      <x:c r="N300" s="93" t="n">
        <x:f>'Registro de vuelos'!A301</x:f>
        <x:v>0</x:v>
      </x:c>
      <x:c r="O300" s="15" t="n">
        <x:f>'Registro de vuelos'!C301</x:f>
        <x:v>0</x:v>
      </x:c>
      <x:c r="P300" s="15" t="n">
        <x:f>'Registro de vuelos'!E301</x:f>
        <x:v>0</x:v>
      </x:c>
      <x:c r="Q300" s="21" t="n">
        <x:f>'Registro de vuelos'!F301</x:f>
        <x:v>0</x:v>
      </x:c>
      <x:c r="R300" s="21" t="str">
        <x:f>IF(N300="","",IF(AND(COUNTIFS($N$3:$N$502,N300,$O$3:$O$502,O300,$P$3:$P$502,P300,$Q$3:$Q$502,"&gt;"&amp;Q300)=0,COUNTIFS($N$3:N300,N300,$O$3:O300,O300,$P$3:P300,P300,$Q$3:Q300,Q300)=1),1,0))</x:f>
      </x:c>
      <x:c r="S300" s="21" t="n">
        <x:f t="shared" si="6">IF(R300=1,Q300,0)</x:f>
        <x:v>0</x:v>
      </x:c>
      <x:c r="T300" s="15"/>
      <x:c r="U300" s="15"/>
      <x:c r="V300" s="15"/>
      <x:c r="W300" s="15"/>
      <x:c r="X300" s="15"/>
      <x:c r="Y300" s="15"/>
      <x:c r="Z300" s="14"/>
    </x:row>
    <x:row r="301" ht="14.399999618530273" customHeight="1">
      <x:c r="A301" s="14"/>
      <x:c r="B301" s="14"/>
      <x:c r="C301" s="14"/>
      <x:c r="D301" s="14"/>
      <x:c r="E301" s="14"/>
      <x:c r="F301" s="14"/>
      <x:c r="G301" s="14"/>
      <x:c r="H301" s="14"/>
      <x:c r="I301" s="14"/>
      <x:c r="J301" s="14"/>
      <x:c r="K301" s="14"/>
      <x:c r="L301" s="14"/>
      <x:c r="M301" s="14"/>
      <x:c r="N301" s="93" t="n">
        <x:f>'Registro de vuelos'!A302</x:f>
        <x:v>0</x:v>
      </x:c>
      <x:c r="O301" s="15" t="n">
        <x:f>'Registro de vuelos'!C302</x:f>
        <x:v>0</x:v>
      </x:c>
      <x:c r="P301" s="15" t="n">
        <x:f>'Registro de vuelos'!E302</x:f>
        <x:v>0</x:v>
      </x:c>
      <x:c r="Q301" s="21" t="n">
        <x:f>'Registro de vuelos'!F302</x:f>
        <x:v>0</x:v>
      </x:c>
      <x:c r="R301" s="21" t="str">
        <x:f>IF(N301="","",IF(AND(COUNTIFS($N$3:$N$502,N301,$O$3:$O$502,O301,$P$3:$P$502,P301,$Q$3:$Q$502,"&gt;"&amp;Q301)=0,COUNTIFS($N$3:N301,N301,$O$3:O301,O301,$P$3:P301,P301,$Q$3:Q301,Q301)=1),1,0))</x:f>
      </x:c>
      <x:c r="S301" s="21" t="n">
        <x:f t="shared" si="6">IF(R301=1,Q301,0)</x:f>
        <x:v>0</x:v>
      </x:c>
      <x:c r="T301" s="15"/>
      <x:c r="U301" s="15"/>
      <x:c r="V301" s="15"/>
      <x:c r="W301" s="15"/>
      <x:c r="X301" s="15"/>
      <x:c r="Y301" s="15"/>
      <x:c r="Z301" s="14"/>
    </x:row>
    <x:row r="302" ht="14.399999618530273" customHeight="1">
      <x:c r="A302" s="14"/>
      <x:c r="B302" s="14"/>
      <x:c r="C302" s="14"/>
      <x:c r="D302" s="14"/>
      <x:c r="E302" s="14"/>
      <x:c r="F302" s="14"/>
      <x:c r="G302" s="14"/>
      <x:c r="H302" s="14"/>
      <x:c r="I302" s="14"/>
      <x:c r="J302" s="14"/>
      <x:c r="K302" s="14"/>
      <x:c r="L302" s="14"/>
      <x:c r="M302" s="14"/>
      <x:c r="N302" s="93" t="n">
        <x:f>'Registro de vuelos'!A303</x:f>
        <x:v>0</x:v>
      </x:c>
      <x:c r="O302" s="15" t="n">
        <x:f>'Registro de vuelos'!C303</x:f>
        <x:v>0</x:v>
      </x:c>
      <x:c r="P302" s="15" t="n">
        <x:f>'Registro de vuelos'!E303</x:f>
        <x:v>0</x:v>
      </x:c>
      <x:c r="Q302" s="21" t="n">
        <x:f>'Registro de vuelos'!F303</x:f>
        <x:v>0</x:v>
      </x:c>
      <x:c r="R302" s="21" t="str">
        <x:f>IF(N302="","",IF(AND(COUNTIFS($N$3:$N$502,N302,$O$3:$O$502,O302,$P$3:$P$502,P302,$Q$3:$Q$502,"&gt;"&amp;Q302)=0,COUNTIFS($N$3:N302,N302,$O$3:O302,O302,$P$3:P302,P302,$Q$3:Q302,Q302)=1),1,0))</x:f>
      </x:c>
      <x:c r="S302" s="21" t="n">
        <x:f t="shared" si="6">IF(R302=1,Q302,0)</x:f>
        <x:v>0</x:v>
      </x:c>
      <x:c r="T302" s="15"/>
      <x:c r="U302" s="15"/>
      <x:c r="V302" s="15"/>
      <x:c r="W302" s="15"/>
      <x:c r="X302" s="15"/>
      <x:c r="Y302" s="15"/>
      <x:c r="Z302" s="14"/>
    </x:row>
    <x:row r="303" ht="14.399999618530273" customHeight="1">
      <x:c r="A303" s="14"/>
      <x:c r="B303" s="14"/>
      <x:c r="C303" s="14"/>
      <x:c r="D303" s="14"/>
      <x:c r="E303" s="14"/>
      <x:c r="F303" s="14"/>
      <x:c r="G303" s="14"/>
      <x:c r="H303" s="14"/>
      <x:c r="I303" s="14"/>
      <x:c r="J303" s="14"/>
      <x:c r="K303" s="14"/>
      <x:c r="L303" s="14"/>
      <x:c r="M303" s="14"/>
      <x:c r="N303" s="93" t="n">
        <x:f>'Registro de vuelos'!A304</x:f>
        <x:v>0</x:v>
      </x:c>
      <x:c r="O303" s="15" t="n">
        <x:f>'Registro de vuelos'!C304</x:f>
        <x:v>0</x:v>
      </x:c>
      <x:c r="P303" s="15" t="n">
        <x:f>'Registro de vuelos'!E304</x:f>
        <x:v>0</x:v>
      </x:c>
      <x:c r="Q303" s="21" t="n">
        <x:f>'Registro de vuelos'!F304</x:f>
        <x:v>0</x:v>
      </x:c>
      <x:c r="R303" s="21" t="str">
        <x:f>IF(N303="","",IF(AND(COUNTIFS($N$3:$N$502,N303,$O$3:$O$502,O303,$P$3:$P$502,P303,$Q$3:$Q$502,"&gt;"&amp;Q303)=0,COUNTIFS($N$3:N303,N303,$O$3:O303,O303,$P$3:P303,P303,$Q$3:Q303,Q303)=1),1,0))</x:f>
      </x:c>
      <x:c r="S303" s="21" t="n">
        <x:f t="shared" si="6">IF(R303=1,Q303,0)</x:f>
        <x:v>0</x:v>
      </x:c>
      <x:c r="T303" s="15"/>
      <x:c r="U303" s="15"/>
      <x:c r="V303" s="15"/>
      <x:c r="W303" s="15"/>
      <x:c r="X303" s="15"/>
      <x:c r="Y303" s="15"/>
      <x:c r="Z303" s="14"/>
    </x:row>
    <x:row r="304" ht="14.399999618530273" customHeight="1">
      <x:c r="A304" s="14"/>
      <x:c r="B304" s="14"/>
      <x:c r="C304" s="14"/>
      <x:c r="D304" s="14"/>
      <x:c r="E304" s="14"/>
      <x:c r="F304" s="14"/>
      <x:c r="G304" s="14"/>
      <x:c r="H304" s="14"/>
      <x:c r="I304" s="14"/>
      <x:c r="J304" s="14"/>
      <x:c r="K304" s="14"/>
      <x:c r="L304" s="14"/>
      <x:c r="M304" s="14"/>
      <x:c r="N304" s="93" t="n">
        <x:f>'Registro de vuelos'!A305</x:f>
        <x:v>0</x:v>
      </x:c>
      <x:c r="O304" s="15" t="n">
        <x:f>'Registro de vuelos'!C305</x:f>
        <x:v>0</x:v>
      </x:c>
      <x:c r="P304" s="15" t="n">
        <x:f>'Registro de vuelos'!E305</x:f>
        <x:v>0</x:v>
      </x:c>
      <x:c r="Q304" s="21" t="n">
        <x:f>'Registro de vuelos'!F305</x:f>
        <x:v>0</x:v>
      </x:c>
      <x:c r="R304" s="21" t="str">
        <x:f>IF(N304="","",IF(AND(COUNTIFS($N$3:$N$502,N304,$O$3:$O$502,O304,$P$3:$P$502,P304,$Q$3:$Q$502,"&gt;"&amp;Q304)=0,COUNTIFS($N$3:N304,N304,$O$3:O304,O304,$P$3:P304,P304,$Q$3:Q304,Q304)=1),1,0))</x:f>
      </x:c>
      <x:c r="S304" s="21" t="n">
        <x:f t="shared" si="6">IF(R304=1,Q304,0)</x:f>
        <x:v>0</x:v>
      </x:c>
      <x:c r="T304" s="15"/>
      <x:c r="U304" s="15"/>
      <x:c r="V304" s="15"/>
      <x:c r="W304" s="15"/>
      <x:c r="X304" s="15"/>
      <x:c r="Y304" s="15"/>
      <x:c r="Z304" s="14"/>
    </x:row>
    <x:row r="305" ht="14.399999618530273" customHeight="1">
      <x:c r="A305" s="14"/>
      <x:c r="B305" s="14"/>
      <x:c r="C305" s="14"/>
      <x:c r="D305" s="14"/>
      <x:c r="E305" s="14"/>
      <x:c r="F305" s="14"/>
      <x:c r="G305" s="14"/>
      <x:c r="H305" s="14"/>
      <x:c r="I305" s="14"/>
      <x:c r="J305" s="14"/>
      <x:c r="K305" s="14"/>
      <x:c r="L305" s="14"/>
      <x:c r="M305" s="14"/>
      <x:c r="N305" s="93" t="n">
        <x:f>'Registro de vuelos'!A306</x:f>
        <x:v>0</x:v>
      </x:c>
      <x:c r="O305" s="15" t="n">
        <x:f>'Registro de vuelos'!C306</x:f>
        <x:v>0</x:v>
      </x:c>
      <x:c r="P305" s="15" t="n">
        <x:f>'Registro de vuelos'!E306</x:f>
        <x:v>0</x:v>
      </x:c>
      <x:c r="Q305" s="21" t="n">
        <x:f>'Registro de vuelos'!F306</x:f>
        <x:v>0</x:v>
      </x:c>
      <x:c r="R305" s="21" t="str">
        <x:f>IF(N305="","",IF(AND(COUNTIFS($N$3:$N$502,N305,$O$3:$O$502,O305,$P$3:$P$502,P305,$Q$3:$Q$502,"&gt;"&amp;Q305)=0,COUNTIFS($N$3:N305,N305,$O$3:O305,O305,$P$3:P305,P305,$Q$3:Q305,Q305)=1),1,0))</x:f>
      </x:c>
      <x:c r="S305" s="21" t="n">
        <x:f t="shared" si="6">IF(R305=1,Q305,0)</x:f>
        <x:v>0</x:v>
      </x:c>
      <x:c r="T305" s="15"/>
      <x:c r="U305" s="15"/>
      <x:c r="V305" s="15"/>
      <x:c r="W305" s="15"/>
      <x:c r="X305" s="15"/>
      <x:c r="Y305" s="15"/>
      <x:c r="Z305" s="14"/>
    </x:row>
    <x:row r="306" ht="14.399999618530273" customHeight="1">
      <x:c r="A306" s="14"/>
      <x:c r="B306" s="14"/>
      <x:c r="C306" s="14"/>
      <x:c r="D306" s="14"/>
      <x:c r="E306" s="14"/>
      <x:c r="F306" s="14"/>
      <x:c r="G306" s="14"/>
      <x:c r="H306" s="14"/>
      <x:c r="I306" s="14"/>
      <x:c r="J306" s="14"/>
      <x:c r="K306" s="14"/>
      <x:c r="L306" s="14"/>
      <x:c r="M306" s="14"/>
      <x:c r="N306" s="93" t="n">
        <x:f>'Registro de vuelos'!A307</x:f>
        <x:v>0</x:v>
      </x:c>
      <x:c r="O306" s="15" t="n">
        <x:f>'Registro de vuelos'!C307</x:f>
        <x:v>0</x:v>
      </x:c>
      <x:c r="P306" s="15" t="n">
        <x:f>'Registro de vuelos'!E307</x:f>
        <x:v>0</x:v>
      </x:c>
      <x:c r="Q306" s="21" t="n">
        <x:f>'Registro de vuelos'!F307</x:f>
        <x:v>0</x:v>
      </x:c>
      <x:c r="R306" s="21" t="str">
        <x:f>IF(N306="","",IF(AND(COUNTIFS($N$3:$N$502,N306,$O$3:$O$502,O306,$P$3:$P$502,P306,$Q$3:$Q$502,"&gt;"&amp;Q306)=0,COUNTIFS($N$3:N306,N306,$O$3:O306,O306,$P$3:P306,P306,$Q$3:Q306,Q306)=1),1,0))</x:f>
      </x:c>
      <x:c r="S306" s="21" t="n">
        <x:f t="shared" si="6">IF(R306=1,Q306,0)</x:f>
        <x:v>0</x:v>
      </x:c>
      <x:c r="T306" s="15"/>
      <x:c r="U306" s="15"/>
      <x:c r="V306" s="15"/>
      <x:c r="W306" s="15"/>
      <x:c r="X306" s="15"/>
      <x:c r="Y306" s="15"/>
      <x:c r="Z306" s="14"/>
    </x:row>
    <x:row r="307" ht="14.399999618530273" customHeight="1">
      <x:c r="A307" s="14"/>
      <x:c r="B307" s="14"/>
      <x:c r="C307" s="14"/>
      <x:c r="D307" s="14"/>
      <x:c r="E307" s="14"/>
      <x:c r="F307" s="14"/>
      <x:c r="G307" s="14"/>
      <x:c r="H307" s="14"/>
      <x:c r="I307" s="14"/>
      <x:c r="J307" s="14"/>
      <x:c r="K307" s="14"/>
      <x:c r="L307" s="14"/>
      <x:c r="M307" s="14"/>
      <x:c r="N307" s="93" t="n">
        <x:f>'Registro de vuelos'!A308</x:f>
        <x:v>0</x:v>
      </x:c>
      <x:c r="O307" s="15" t="n">
        <x:f>'Registro de vuelos'!C308</x:f>
        <x:v>0</x:v>
      </x:c>
      <x:c r="P307" s="15" t="n">
        <x:f>'Registro de vuelos'!E308</x:f>
        <x:v>0</x:v>
      </x:c>
      <x:c r="Q307" s="21" t="n">
        <x:f>'Registro de vuelos'!F308</x:f>
        <x:v>0</x:v>
      </x:c>
      <x:c r="R307" s="21" t="str">
        <x:f>IF(N307="","",IF(AND(COUNTIFS($N$3:$N$502,N307,$O$3:$O$502,O307,$P$3:$P$502,P307,$Q$3:$Q$502,"&gt;"&amp;Q307)=0,COUNTIFS($N$3:N307,N307,$O$3:O307,O307,$P$3:P307,P307,$Q$3:Q307,Q307)=1),1,0))</x:f>
      </x:c>
      <x:c r="S307" s="21" t="n">
        <x:f t="shared" si="6">IF(R307=1,Q307,0)</x:f>
        <x:v>0</x:v>
      </x:c>
      <x:c r="T307" s="15"/>
      <x:c r="U307" s="15"/>
      <x:c r="V307" s="15"/>
      <x:c r="W307" s="15"/>
      <x:c r="X307" s="15"/>
      <x:c r="Y307" s="15"/>
      <x:c r="Z307" s="14"/>
    </x:row>
    <x:row r="308" ht="14.399999618530273" customHeight="1">
      <x:c r="A308" s="14"/>
      <x:c r="B308" s="14"/>
      <x:c r="C308" s="14"/>
      <x:c r="D308" s="14"/>
      <x:c r="E308" s="14"/>
      <x:c r="F308" s="14"/>
      <x:c r="G308" s="14"/>
      <x:c r="H308" s="14"/>
      <x:c r="I308" s="14"/>
      <x:c r="J308" s="14"/>
      <x:c r="K308" s="14"/>
      <x:c r="L308" s="14"/>
      <x:c r="M308" s="14"/>
      <x:c r="N308" s="93" t="n">
        <x:f>'Registro de vuelos'!A309</x:f>
        <x:v>0</x:v>
      </x:c>
      <x:c r="O308" s="15" t="n">
        <x:f>'Registro de vuelos'!C309</x:f>
        <x:v>0</x:v>
      </x:c>
      <x:c r="P308" s="15" t="n">
        <x:f>'Registro de vuelos'!E309</x:f>
        <x:v>0</x:v>
      </x:c>
      <x:c r="Q308" s="21" t="n">
        <x:f>'Registro de vuelos'!F309</x:f>
        <x:v>0</x:v>
      </x:c>
      <x:c r="R308" s="21" t="str">
        <x:f>IF(N308="","",IF(AND(COUNTIFS($N$3:$N$502,N308,$O$3:$O$502,O308,$P$3:$P$502,P308,$Q$3:$Q$502,"&gt;"&amp;Q308)=0,COUNTIFS($N$3:N308,N308,$O$3:O308,O308,$P$3:P308,P308,$Q$3:Q308,Q308)=1),1,0))</x:f>
      </x:c>
      <x:c r="S308" s="21" t="n">
        <x:f t="shared" si="6">IF(R308=1,Q308,0)</x:f>
        <x:v>0</x:v>
      </x:c>
      <x:c r="T308" s="15"/>
      <x:c r="U308" s="15"/>
      <x:c r="V308" s="15"/>
      <x:c r="W308" s="15"/>
      <x:c r="X308" s="15"/>
      <x:c r="Y308" s="15"/>
      <x:c r="Z308" s="14"/>
    </x:row>
    <x:row r="309" ht="14.399999618530273" customHeight="1">
      <x:c r="A309" s="14"/>
      <x:c r="B309" s="14"/>
      <x:c r="C309" s="14"/>
      <x:c r="D309" s="14"/>
      <x:c r="E309" s="14"/>
      <x:c r="F309" s="14"/>
      <x:c r="G309" s="14"/>
      <x:c r="H309" s="14"/>
      <x:c r="I309" s="14"/>
      <x:c r="J309" s="14"/>
      <x:c r="K309" s="14"/>
      <x:c r="L309" s="14"/>
      <x:c r="M309" s="14"/>
      <x:c r="N309" s="93" t="n">
        <x:f>'Registro de vuelos'!A310</x:f>
        <x:v>0</x:v>
      </x:c>
      <x:c r="O309" s="15" t="n">
        <x:f>'Registro de vuelos'!C310</x:f>
        <x:v>0</x:v>
      </x:c>
      <x:c r="P309" s="15" t="n">
        <x:f>'Registro de vuelos'!E310</x:f>
        <x:v>0</x:v>
      </x:c>
      <x:c r="Q309" s="21" t="n">
        <x:f>'Registro de vuelos'!F310</x:f>
        <x:v>0</x:v>
      </x:c>
      <x:c r="R309" s="21" t="str">
        <x:f>IF(N309="","",IF(AND(COUNTIFS($N$3:$N$502,N309,$O$3:$O$502,O309,$P$3:$P$502,P309,$Q$3:$Q$502,"&gt;"&amp;Q309)=0,COUNTIFS($N$3:N309,N309,$O$3:O309,O309,$P$3:P309,P309,$Q$3:Q309,Q309)=1),1,0))</x:f>
      </x:c>
      <x:c r="S309" s="21" t="n">
        <x:f t="shared" si="6">IF(R309=1,Q309,0)</x:f>
        <x:v>0</x:v>
      </x:c>
      <x:c r="T309" s="15"/>
      <x:c r="U309" s="15"/>
      <x:c r="V309" s="15"/>
      <x:c r="W309" s="15"/>
      <x:c r="X309" s="15"/>
      <x:c r="Y309" s="15"/>
      <x:c r="Z309" s="14"/>
    </x:row>
    <x:row r="310" ht="14.399999618530273" customHeight="1">
      <x:c r="A310" s="14"/>
      <x:c r="B310" s="14"/>
      <x:c r="C310" s="14"/>
      <x:c r="D310" s="14"/>
      <x:c r="E310" s="14"/>
      <x:c r="F310" s="14"/>
      <x:c r="G310" s="14"/>
      <x:c r="H310" s="14"/>
      <x:c r="I310" s="14"/>
      <x:c r="J310" s="14"/>
      <x:c r="K310" s="14"/>
      <x:c r="L310" s="14"/>
      <x:c r="M310" s="14"/>
      <x:c r="N310" s="93" t="n">
        <x:f>'Registro de vuelos'!A311</x:f>
        <x:v>0</x:v>
      </x:c>
      <x:c r="O310" s="15" t="n">
        <x:f>'Registro de vuelos'!C311</x:f>
        <x:v>0</x:v>
      </x:c>
      <x:c r="P310" s="15" t="n">
        <x:f>'Registro de vuelos'!E311</x:f>
        <x:v>0</x:v>
      </x:c>
      <x:c r="Q310" s="21" t="n">
        <x:f>'Registro de vuelos'!F311</x:f>
        <x:v>0</x:v>
      </x:c>
      <x:c r="R310" s="21" t="str">
        <x:f>IF(N310="","",IF(AND(COUNTIFS($N$3:$N$502,N310,$O$3:$O$502,O310,$P$3:$P$502,P310,$Q$3:$Q$502,"&gt;"&amp;Q310)=0,COUNTIFS($N$3:N310,N310,$O$3:O310,O310,$P$3:P310,P310,$Q$3:Q310,Q310)=1),1,0))</x:f>
      </x:c>
      <x:c r="S310" s="21" t="n">
        <x:f t="shared" si="6">IF(R310=1,Q310,0)</x:f>
        <x:v>0</x:v>
      </x:c>
      <x:c r="T310" s="15"/>
      <x:c r="U310" s="15"/>
      <x:c r="V310" s="15"/>
      <x:c r="W310" s="15"/>
      <x:c r="X310" s="15"/>
      <x:c r="Y310" s="15"/>
      <x:c r="Z310" s="14"/>
    </x:row>
    <x:row r="311" ht="14.399999618530273" customHeight="1">
      <x:c r="A311" s="14"/>
      <x:c r="B311" s="14"/>
      <x:c r="C311" s="14"/>
      <x:c r="D311" s="14"/>
      <x:c r="E311" s="14"/>
      <x:c r="F311" s="14"/>
      <x:c r="G311" s="14"/>
      <x:c r="H311" s="14"/>
      <x:c r="I311" s="14"/>
      <x:c r="J311" s="14"/>
      <x:c r="K311" s="14"/>
      <x:c r="L311" s="14"/>
      <x:c r="M311" s="14"/>
      <x:c r="N311" s="93" t="n">
        <x:f>'Registro de vuelos'!A312</x:f>
        <x:v>0</x:v>
      </x:c>
      <x:c r="O311" s="15" t="n">
        <x:f>'Registro de vuelos'!C312</x:f>
        <x:v>0</x:v>
      </x:c>
      <x:c r="P311" s="15" t="n">
        <x:f>'Registro de vuelos'!E312</x:f>
        <x:v>0</x:v>
      </x:c>
      <x:c r="Q311" s="21" t="n">
        <x:f>'Registro de vuelos'!F312</x:f>
        <x:v>0</x:v>
      </x:c>
      <x:c r="R311" s="21" t="str">
        <x:f>IF(N311="","",IF(AND(COUNTIFS($N$3:$N$502,N311,$O$3:$O$502,O311,$P$3:$P$502,P311,$Q$3:$Q$502,"&gt;"&amp;Q311)=0,COUNTIFS($N$3:N311,N311,$O$3:O311,O311,$P$3:P311,P311,$Q$3:Q311,Q311)=1),1,0))</x:f>
      </x:c>
      <x:c r="S311" s="21" t="n">
        <x:f t="shared" si="6">IF(R311=1,Q311,0)</x:f>
        <x:v>0</x:v>
      </x:c>
      <x:c r="T311" s="15"/>
      <x:c r="U311" s="15"/>
      <x:c r="V311" s="15"/>
      <x:c r="W311" s="15"/>
      <x:c r="X311" s="15"/>
      <x:c r="Y311" s="15"/>
      <x:c r="Z311" s="14"/>
    </x:row>
    <x:row r="312" ht="14.399999618530273" customHeight="1">
      <x:c r="A312" s="14"/>
      <x:c r="B312" s="14"/>
      <x:c r="C312" s="14"/>
      <x:c r="D312" s="14"/>
      <x:c r="E312" s="14"/>
      <x:c r="F312" s="14"/>
      <x:c r="G312" s="14"/>
      <x:c r="H312" s="14"/>
      <x:c r="I312" s="14"/>
      <x:c r="J312" s="14"/>
      <x:c r="K312" s="14"/>
      <x:c r="L312" s="14"/>
      <x:c r="M312" s="14"/>
      <x:c r="N312" s="93" t="n">
        <x:f>'Registro de vuelos'!A313</x:f>
        <x:v>0</x:v>
      </x:c>
      <x:c r="O312" s="15" t="n">
        <x:f>'Registro de vuelos'!C313</x:f>
        <x:v>0</x:v>
      </x:c>
      <x:c r="P312" s="15" t="n">
        <x:f>'Registro de vuelos'!E313</x:f>
        <x:v>0</x:v>
      </x:c>
      <x:c r="Q312" s="21" t="n">
        <x:f>'Registro de vuelos'!F313</x:f>
        <x:v>0</x:v>
      </x:c>
      <x:c r="R312" s="21" t="str">
        <x:f>IF(N312="","",IF(AND(COUNTIFS($N$3:$N$502,N312,$O$3:$O$502,O312,$P$3:$P$502,P312,$Q$3:$Q$502,"&gt;"&amp;Q312)=0,COUNTIFS($N$3:N312,N312,$O$3:O312,O312,$P$3:P312,P312,$Q$3:Q312,Q312)=1),1,0))</x:f>
      </x:c>
      <x:c r="S312" s="21" t="n">
        <x:f t="shared" si="6">IF(R312=1,Q312,0)</x:f>
        <x:v>0</x:v>
      </x:c>
      <x:c r="T312" s="15"/>
      <x:c r="U312" s="15"/>
      <x:c r="V312" s="15"/>
      <x:c r="W312" s="15"/>
      <x:c r="X312" s="15"/>
      <x:c r="Y312" s="15"/>
      <x:c r="Z312" s="14"/>
    </x:row>
    <x:row r="313" ht="14.399999618530273" customHeight="1">
      <x:c r="A313" s="14"/>
      <x:c r="B313" s="14"/>
      <x:c r="C313" s="14"/>
      <x:c r="D313" s="14"/>
      <x:c r="E313" s="14"/>
      <x:c r="F313" s="14"/>
      <x:c r="G313" s="14"/>
      <x:c r="H313" s="14"/>
      <x:c r="I313" s="14"/>
      <x:c r="J313" s="14"/>
      <x:c r="K313" s="14"/>
      <x:c r="L313" s="14"/>
      <x:c r="M313" s="14"/>
      <x:c r="N313" s="93" t="n">
        <x:f>'Registro de vuelos'!A314</x:f>
        <x:v>0</x:v>
      </x:c>
      <x:c r="O313" s="15" t="n">
        <x:f>'Registro de vuelos'!C314</x:f>
        <x:v>0</x:v>
      </x:c>
      <x:c r="P313" s="15" t="n">
        <x:f>'Registro de vuelos'!E314</x:f>
        <x:v>0</x:v>
      </x:c>
      <x:c r="Q313" s="21" t="n">
        <x:f>'Registro de vuelos'!F314</x:f>
        <x:v>0</x:v>
      </x:c>
      <x:c r="R313" s="21" t="str">
        <x:f>IF(N313="","",IF(AND(COUNTIFS($N$3:$N$502,N313,$O$3:$O$502,O313,$P$3:$P$502,P313,$Q$3:$Q$502,"&gt;"&amp;Q313)=0,COUNTIFS($N$3:N313,N313,$O$3:O313,O313,$P$3:P313,P313,$Q$3:Q313,Q313)=1),1,0))</x:f>
      </x:c>
      <x:c r="S313" s="21" t="n">
        <x:f t="shared" si="6">IF(R313=1,Q313,0)</x:f>
        <x:v>0</x:v>
      </x:c>
      <x:c r="T313" s="15"/>
      <x:c r="U313" s="15"/>
      <x:c r="V313" s="15"/>
      <x:c r="W313" s="15"/>
      <x:c r="X313" s="15"/>
      <x:c r="Y313" s="15"/>
      <x:c r="Z313" s="14"/>
    </x:row>
    <x:row r="314" ht="14.399999618530273" customHeight="1">
      <x:c r="A314" s="14"/>
      <x:c r="B314" s="14"/>
      <x:c r="C314" s="14"/>
      <x:c r="D314" s="14"/>
      <x:c r="E314" s="14"/>
      <x:c r="F314" s="14"/>
      <x:c r="G314" s="14"/>
      <x:c r="H314" s="14"/>
      <x:c r="I314" s="14"/>
      <x:c r="J314" s="14"/>
      <x:c r="K314" s="14"/>
      <x:c r="L314" s="14"/>
      <x:c r="M314" s="14"/>
      <x:c r="N314" s="93" t="n">
        <x:f>'Registro de vuelos'!A315</x:f>
        <x:v>0</x:v>
      </x:c>
      <x:c r="O314" s="15" t="n">
        <x:f>'Registro de vuelos'!C315</x:f>
        <x:v>0</x:v>
      </x:c>
      <x:c r="P314" s="15" t="n">
        <x:f>'Registro de vuelos'!E315</x:f>
        <x:v>0</x:v>
      </x:c>
      <x:c r="Q314" s="21" t="n">
        <x:f>'Registro de vuelos'!F315</x:f>
        <x:v>0</x:v>
      </x:c>
      <x:c r="R314" s="21" t="str">
        <x:f>IF(N314="","",IF(AND(COUNTIFS($N$3:$N$502,N314,$O$3:$O$502,O314,$P$3:$P$502,P314,$Q$3:$Q$502,"&gt;"&amp;Q314)=0,COUNTIFS($N$3:N314,N314,$O$3:O314,O314,$P$3:P314,P314,$Q$3:Q314,Q314)=1),1,0))</x:f>
      </x:c>
      <x:c r="S314" s="21" t="n">
        <x:f t="shared" si="6">IF(R314=1,Q314,0)</x:f>
        <x:v>0</x:v>
      </x:c>
      <x:c r="T314" s="15"/>
      <x:c r="U314" s="15"/>
      <x:c r="V314" s="15"/>
      <x:c r="W314" s="15"/>
      <x:c r="X314" s="15"/>
      <x:c r="Y314" s="15"/>
      <x:c r="Z314" s="14"/>
    </x:row>
    <x:row r="315" ht="14.399999618530273" customHeight="1">
      <x:c r="A315" s="14"/>
      <x:c r="B315" s="14"/>
      <x:c r="C315" s="14"/>
      <x:c r="D315" s="14"/>
      <x:c r="E315" s="14"/>
      <x:c r="F315" s="14"/>
      <x:c r="G315" s="14"/>
      <x:c r="H315" s="14"/>
      <x:c r="I315" s="14"/>
      <x:c r="J315" s="14"/>
      <x:c r="K315" s="14"/>
      <x:c r="L315" s="14"/>
      <x:c r="M315" s="14"/>
      <x:c r="N315" s="93" t="n">
        <x:f>'Registro de vuelos'!A316</x:f>
        <x:v>0</x:v>
      </x:c>
      <x:c r="O315" s="15" t="n">
        <x:f>'Registro de vuelos'!C316</x:f>
        <x:v>0</x:v>
      </x:c>
      <x:c r="P315" s="15" t="n">
        <x:f>'Registro de vuelos'!E316</x:f>
        <x:v>0</x:v>
      </x:c>
      <x:c r="Q315" s="21" t="n">
        <x:f>'Registro de vuelos'!F316</x:f>
        <x:v>0</x:v>
      </x:c>
      <x:c r="R315" s="21" t="str">
        <x:f>IF(N315="","",IF(AND(COUNTIFS($N$3:$N$502,N315,$O$3:$O$502,O315,$P$3:$P$502,P315,$Q$3:$Q$502,"&gt;"&amp;Q315)=0,COUNTIFS($N$3:N315,N315,$O$3:O315,O315,$P$3:P315,P315,$Q$3:Q315,Q315)=1),1,0))</x:f>
      </x:c>
      <x:c r="S315" s="21" t="n">
        <x:f t="shared" si="6">IF(R315=1,Q315,0)</x:f>
        <x:v>0</x:v>
      </x:c>
      <x:c r="T315" s="15"/>
      <x:c r="U315" s="15"/>
      <x:c r="V315" s="15"/>
      <x:c r="W315" s="15"/>
      <x:c r="X315" s="15"/>
      <x:c r="Y315" s="15"/>
      <x:c r="Z315" s="14"/>
    </x:row>
    <x:row r="316" ht="14.399999618530273" customHeight="1">
      <x:c r="A316" s="14"/>
      <x:c r="B316" s="14"/>
      <x:c r="C316" s="14"/>
      <x:c r="D316" s="14"/>
      <x:c r="E316" s="14"/>
      <x:c r="F316" s="14"/>
      <x:c r="G316" s="14"/>
      <x:c r="H316" s="14"/>
      <x:c r="I316" s="14"/>
      <x:c r="J316" s="14"/>
      <x:c r="K316" s="14"/>
      <x:c r="L316" s="14"/>
      <x:c r="M316" s="14"/>
      <x:c r="N316" s="93" t="n">
        <x:f>'Registro de vuelos'!A317</x:f>
        <x:v>0</x:v>
      </x:c>
      <x:c r="O316" s="15" t="n">
        <x:f>'Registro de vuelos'!C317</x:f>
        <x:v>0</x:v>
      </x:c>
      <x:c r="P316" s="15" t="n">
        <x:f>'Registro de vuelos'!E317</x:f>
        <x:v>0</x:v>
      </x:c>
      <x:c r="Q316" s="21" t="n">
        <x:f>'Registro de vuelos'!F317</x:f>
        <x:v>0</x:v>
      </x:c>
      <x:c r="R316" s="21" t="str">
        <x:f>IF(N316="","",IF(AND(COUNTIFS($N$3:$N$502,N316,$O$3:$O$502,O316,$P$3:$P$502,P316,$Q$3:$Q$502,"&gt;"&amp;Q316)=0,COUNTIFS($N$3:N316,N316,$O$3:O316,O316,$P$3:P316,P316,$Q$3:Q316,Q316)=1),1,0))</x:f>
      </x:c>
      <x:c r="S316" s="21" t="n">
        <x:f t="shared" si="6">IF(R316=1,Q316,0)</x:f>
        <x:v>0</x:v>
      </x:c>
      <x:c r="T316" s="15"/>
      <x:c r="U316" s="15"/>
      <x:c r="V316" s="15"/>
      <x:c r="W316" s="15"/>
      <x:c r="X316" s="15"/>
      <x:c r="Y316" s="15"/>
      <x:c r="Z316" s="14"/>
    </x:row>
    <x:row r="317" ht="14.399999618530273" customHeight="1">
      <x:c r="A317" s="14"/>
      <x:c r="B317" s="14"/>
      <x:c r="C317" s="14"/>
      <x:c r="D317" s="14"/>
      <x:c r="E317" s="14"/>
      <x:c r="F317" s="14"/>
      <x:c r="G317" s="14"/>
      <x:c r="H317" s="14"/>
      <x:c r="I317" s="14"/>
      <x:c r="J317" s="14"/>
      <x:c r="K317" s="14"/>
      <x:c r="L317" s="14"/>
      <x:c r="M317" s="14"/>
      <x:c r="N317" s="93" t="n">
        <x:f>'Registro de vuelos'!A318</x:f>
        <x:v>0</x:v>
      </x:c>
      <x:c r="O317" s="15" t="n">
        <x:f>'Registro de vuelos'!C318</x:f>
        <x:v>0</x:v>
      </x:c>
      <x:c r="P317" s="15" t="n">
        <x:f>'Registro de vuelos'!E318</x:f>
        <x:v>0</x:v>
      </x:c>
      <x:c r="Q317" s="21" t="n">
        <x:f>'Registro de vuelos'!F318</x:f>
        <x:v>0</x:v>
      </x:c>
      <x:c r="R317" s="21" t="str">
        <x:f>IF(N317="","",IF(AND(COUNTIFS($N$3:$N$502,N317,$O$3:$O$502,O317,$P$3:$P$502,P317,$Q$3:$Q$502,"&gt;"&amp;Q317)=0,COUNTIFS($N$3:N317,N317,$O$3:O317,O317,$P$3:P317,P317,$Q$3:Q317,Q317)=1),1,0))</x:f>
      </x:c>
      <x:c r="S317" s="21" t="n">
        <x:f t="shared" si="6">IF(R317=1,Q317,0)</x:f>
        <x:v>0</x:v>
      </x:c>
      <x:c r="T317" s="15"/>
      <x:c r="U317" s="15"/>
      <x:c r="V317" s="15"/>
      <x:c r="W317" s="15"/>
      <x:c r="X317" s="15"/>
      <x:c r="Y317" s="15"/>
      <x:c r="Z317" s="14"/>
    </x:row>
    <x:row r="318" ht="14.399999618530273" customHeight="1">
      <x:c r="A318" s="14"/>
      <x:c r="B318" s="14"/>
      <x:c r="C318" s="14"/>
      <x:c r="D318" s="14"/>
      <x:c r="E318" s="14"/>
      <x:c r="F318" s="14"/>
      <x:c r="G318" s="14"/>
      <x:c r="H318" s="14"/>
      <x:c r="I318" s="14"/>
      <x:c r="J318" s="14"/>
      <x:c r="K318" s="14"/>
      <x:c r="L318" s="14"/>
      <x:c r="M318" s="14"/>
      <x:c r="N318" s="93" t="n">
        <x:f>'Registro de vuelos'!A319</x:f>
        <x:v>0</x:v>
      </x:c>
      <x:c r="O318" s="15" t="n">
        <x:f>'Registro de vuelos'!C319</x:f>
        <x:v>0</x:v>
      </x:c>
      <x:c r="P318" s="15" t="n">
        <x:f>'Registro de vuelos'!E319</x:f>
        <x:v>0</x:v>
      </x:c>
      <x:c r="Q318" s="21" t="n">
        <x:f>'Registro de vuelos'!F319</x:f>
        <x:v>0</x:v>
      </x:c>
      <x:c r="R318" s="21" t="str">
        <x:f>IF(N318="","",IF(AND(COUNTIFS($N$3:$N$502,N318,$O$3:$O$502,O318,$P$3:$P$502,P318,$Q$3:$Q$502,"&gt;"&amp;Q318)=0,COUNTIFS($N$3:N318,N318,$O$3:O318,O318,$P$3:P318,P318,$Q$3:Q318,Q318)=1),1,0))</x:f>
      </x:c>
      <x:c r="S318" s="21" t="n">
        <x:f t="shared" si="6">IF(R318=1,Q318,0)</x:f>
        <x:v>0</x:v>
      </x:c>
      <x:c r="T318" s="15"/>
      <x:c r="U318" s="15"/>
      <x:c r="V318" s="15"/>
      <x:c r="W318" s="15"/>
      <x:c r="X318" s="15"/>
      <x:c r="Y318" s="15"/>
      <x:c r="Z318" s="14"/>
    </x:row>
    <x:row r="319" ht="14.399999618530273" customHeight="1">
      <x:c r="A319" s="14"/>
      <x:c r="B319" s="14"/>
      <x:c r="C319" s="14"/>
      <x:c r="D319" s="14"/>
      <x:c r="E319" s="14"/>
      <x:c r="F319" s="14"/>
      <x:c r="G319" s="14"/>
      <x:c r="H319" s="14"/>
      <x:c r="I319" s="14"/>
      <x:c r="J319" s="14"/>
      <x:c r="K319" s="14"/>
      <x:c r="L319" s="14"/>
      <x:c r="M319" s="14"/>
      <x:c r="N319" s="93" t="n">
        <x:f>'Registro de vuelos'!A320</x:f>
        <x:v>0</x:v>
      </x:c>
      <x:c r="O319" s="15" t="n">
        <x:f>'Registro de vuelos'!C320</x:f>
        <x:v>0</x:v>
      </x:c>
      <x:c r="P319" s="15" t="n">
        <x:f>'Registro de vuelos'!E320</x:f>
        <x:v>0</x:v>
      </x:c>
      <x:c r="Q319" s="21" t="n">
        <x:f>'Registro de vuelos'!F320</x:f>
        <x:v>0</x:v>
      </x:c>
      <x:c r="R319" s="21" t="str">
        <x:f>IF(N319="","",IF(AND(COUNTIFS($N$3:$N$502,N319,$O$3:$O$502,O319,$P$3:$P$502,P319,$Q$3:$Q$502,"&gt;"&amp;Q319)=0,COUNTIFS($N$3:N319,N319,$O$3:O319,O319,$P$3:P319,P319,$Q$3:Q319,Q319)=1),1,0))</x:f>
      </x:c>
      <x:c r="S319" s="21" t="n">
        <x:f t="shared" si="6">IF(R319=1,Q319,0)</x:f>
        <x:v>0</x:v>
      </x:c>
      <x:c r="T319" s="15"/>
      <x:c r="U319" s="15"/>
      <x:c r="V319" s="15"/>
      <x:c r="W319" s="15"/>
      <x:c r="X319" s="15"/>
      <x:c r="Y319" s="15"/>
      <x:c r="Z319" s="14"/>
    </x:row>
    <x:row r="320" ht="14.399999618530273" customHeight="1">
      <x:c r="A320" s="14"/>
      <x:c r="B320" s="14"/>
      <x:c r="C320" s="14"/>
      <x:c r="D320" s="14"/>
      <x:c r="E320" s="14"/>
      <x:c r="F320" s="14"/>
      <x:c r="G320" s="14"/>
      <x:c r="H320" s="14"/>
      <x:c r="I320" s="14"/>
      <x:c r="J320" s="14"/>
      <x:c r="K320" s="14"/>
      <x:c r="L320" s="14"/>
      <x:c r="M320" s="14"/>
      <x:c r="N320" s="93" t="n">
        <x:f>'Registro de vuelos'!A321</x:f>
        <x:v>0</x:v>
      </x:c>
      <x:c r="O320" s="15" t="n">
        <x:f>'Registro de vuelos'!C321</x:f>
        <x:v>0</x:v>
      </x:c>
      <x:c r="P320" s="15" t="n">
        <x:f>'Registro de vuelos'!E321</x:f>
        <x:v>0</x:v>
      </x:c>
      <x:c r="Q320" s="21" t="n">
        <x:f>'Registro de vuelos'!F321</x:f>
        <x:v>0</x:v>
      </x:c>
      <x:c r="R320" s="21" t="str">
        <x:f>IF(N320="","",IF(AND(COUNTIFS($N$3:$N$502,N320,$O$3:$O$502,O320,$P$3:$P$502,P320,$Q$3:$Q$502,"&gt;"&amp;Q320)=0,COUNTIFS($N$3:N320,N320,$O$3:O320,O320,$P$3:P320,P320,$Q$3:Q320,Q320)=1),1,0))</x:f>
      </x:c>
      <x:c r="S320" s="21" t="n">
        <x:f t="shared" si="6">IF(R320=1,Q320,0)</x:f>
        <x:v>0</x:v>
      </x:c>
      <x:c r="T320" s="15"/>
      <x:c r="U320" s="15"/>
      <x:c r="V320" s="15"/>
      <x:c r="W320" s="15"/>
      <x:c r="X320" s="15"/>
      <x:c r="Y320" s="15"/>
      <x:c r="Z320" s="14"/>
    </x:row>
    <x:row r="321" ht="14.399999618530273" customHeight="1">
      <x:c r="A321" s="14"/>
      <x:c r="B321" s="14"/>
      <x:c r="C321" s="14"/>
      <x:c r="D321" s="14"/>
      <x:c r="E321" s="14"/>
      <x:c r="F321" s="14"/>
      <x:c r="G321" s="14"/>
      <x:c r="H321" s="14"/>
      <x:c r="I321" s="14"/>
      <x:c r="J321" s="14"/>
      <x:c r="K321" s="14"/>
      <x:c r="L321" s="14"/>
      <x:c r="M321" s="14"/>
      <x:c r="N321" s="93" t="n">
        <x:f>'Registro de vuelos'!A322</x:f>
        <x:v>0</x:v>
      </x:c>
      <x:c r="O321" s="15" t="n">
        <x:f>'Registro de vuelos'!C322</x:f>
        <x:v>0</x:v>
      </x:c>
      <x:c r="P321" s="15" t="n">
        <x:f>'Registro de vuelos'!E322</x:f>
        <x:v>0</x:v>
      </x:c>
      <x:c r="Q321" s="21" t="n">
        <x:f>'Registro de vuelos'!F322</x:f>
        <x:v>0</x:v>
      </x:c>
      <x:c r="R321" s="21" t="str">
        <x:f>IF(N321="","",IF(AND(COUNTIFS($N$3:$N$502,N321,$O$3:$O$502,O321,$P$3:$P$502,P321,$Q$3:$Q$502,"&gt;"&amp;Q321)=0,COUNTIFS($N$3:N321,N321,$O$3:O321,O321,$P$3:P321,P321,$Q$3:Q321,Q321)=1),1,0))</x:f>
      </x:c>
      <x:c r="S321" s="21" t="n">
        <x:f t="shared" si="6">IF(R321=1,Q321,0)</x:f>
        <x:v>0</x:v>
      </x:c>
      <x:c r="T321" s="15"/>
      <x:c r="U321" s="15"/>
      <x:c r="V321" s="15"/>
      <x:c r="W321" s="15"/>
      <x:c r="X321" s="15"/>
      <x:c r="Y321" s="15"/>
      <x:c r="Z321" s="14"/>
    </x:row>
    <x:row r="322" ht="14.399999618530273" customHeight="1">
      <x:c r="A322" s="14"/>
      <x:c r="B322" s="14"/>
      <x:c r="C322" s="14"/>
      <x:c r="D322" s="14"/>
      <x:c r="E322" s="14"/>
      <x:c r="F322" s="14"/>
      <x:c r="G322" s="14"/>
      <x:c r="H322" s="14"/>
      <x:c r="I322" s="14"/>
      <x:c r="J322" s="14"/>
      <x:c r="K322" s="14"/>
      <x:c r="L322" s="14"/>
      <x:c r="M322" s="14"/>
      <x:c r="N322" s="93" t="n">
        <x:f>'Registro de vuelos'!A323</x:f>
        <x:v>0</x:v>
      </x:c>
      <x:c r="O322" s="15" t="n">
        <x:f>'Registro de vuelos'!C323</x:f>
        <x:v>0</x:v>
      </x:c>
      <x:c r="P322" s="15" t="n">
        <x:f>'Registro de vuelos'!E323</x:f>
        <x:v>0</x:v>
      </x:c>
      <x:c r="Q322" s="21" t="n">
        <x:f>'Registro de vuelos'!F323</x:f>
        <x:v>0</x:v>
      </x:c>
      <x:c r="R322" s="21" t="str">
        <x:f>IF(N322="","",IF(AND(COUNTIFS($N$3:$N$502,N322,$O$3:$O$502,O322,$P$3:$P$502,P322,$Q$3:$Q$502,"&gt;"&amp;Q322)=0,COUNTIFS($N$3:N322,N322,$O$3:O322,O322,$P$3:P322,P322,$Q$3:Q322,Q322)=1),1,0))</x:f>
      </x:c>
      <x:c r="S322" s="21" t="n">
        <x:f t="shared" si="6">IF(R322=1,Q322,0)</x:f>
        <x:v>0</x:v>
      </x:c>
      <x:c r="T322" s="15"/>
      <x:c r="U322" s="15"/>
      <x:c r="V322" s="15"/>
      <x:c r="W322" s="15"/>
      <x:c r="X322" s="15"/>
      <x:c r="Y322" s="15"/>
      <x:c r="Z322" s="14"/>
    </x:row>
    <x:row r="323" ht="14.399999618530273" customHeight="1">
      <x:c r="A323" s="14"/>
      <x:c r="B323" s="14"/>
      <x:c r="C323" s="14"/>
      <x:c r="D323" s="14"/>
      <x:c r="E323" s="14"/>
      <x:c r="F323" s="14"/>
      <x:c r="G323" s="14"/>
      <x:c r="H323" s="14"/>
      <x:c r="I323" s="14"/>
      <x:c r="J323" s="14"/>
      <x:c r="K323" s="14"/>
      <x:c r="L323" s="14"/>
      <x:c r="M323" s="14"/>
      <x:c r="N323" s="93" t="n">
        <x:f>'Registro de vuelos'!A324</x:f>
        <x:v>0</x:v>
      </x:c>
      <x:c r="O323" s="15" t="n">
        <x:f>'Registro de vuelos'!C324</x:f>
        <x:v>0</x:v>
      </x:c>
      <x:c r="P323" s="15" t="n">
        <x:f>'Registro de vuelos'!E324</x:f>
        <x:v>0</x:v>
      </x:c>
      <x:c r="Q323" s="21" t="n">
        <x:f>'Registro de vuelos'!F324</x:f>
        <x:v>0</x:v>
      </x:c>
      <x:c r="R323" s="21" t="str">
        <x:f>IF(N323="","",IF(AND(COUNTIFS($N$3:$N$502,N323,$O$3:$O$502,O323,$P$3:$P$502,P323,$Q$3:$Q$502,"&gt;"&amp;Q323)=0,COUNTIFS($N$3:N323,N323,$O$3:O323,O323,$P$3:P323,P323,$Q$3:Q323,Q323)=1),1,0))</x:f>
      </x:c>
      <x:c r="S323" s="21" t="n">
        <x:f t="shared" ref="S323:S386" si="7">IF(R323=1,Q323,0)</x:f>
        <x:v>0</x:v>
      </x:c>
      <x:c r="T323" s="15"/>
      <x:c r="U323" s="15"/>
      <x:c r="V323" s="15"/>
      <x:c r="W323" s="15"/>
      <x:c r="X323" s="15"/>
      <x:c r="Y323" s="15"/>
      <x:c r="Z323" s="14"/>
    </x:row>
    <x:row r="324" ht="14.399999618530273" customHeight="1">
      <x:c r="A324" s="14"/>
      <x:c r="B324" s="14"/>
      <x:c r="C324" s="14"/>
      <x:c r="D324" s="14"/>
      <x:c r="E324" s="14"/>
      <x:c r="F324" s="14"/>
      <x:c r="G324" s="14"/>
      <x:c r="H324" s="14"/>
      <x:c r="I324" s="14"/>
      <x:c r="J324" s="14"/>
      <x:c r="K324" s="14"/>
      <x:c r="L324" s="14"/>
      <x:c r="M324" s="14"/>
      <x:c r="N324" s="93" t="n">
        <x:f>'Registro de vuelos'!A325</x:f>
        <x:v>0</x:v>
      </x:c>
      <x:c r="O324" s="15" t="n">
        <x:f>'Registro de vuelos'!C325</x:f>
        <x:v>0</x:v>
      </x:c>
      <x:c r="P324" s="15" t="n">
        <x:f>'Registro de vuelos'!E325</x:f>
        <x:v>0</x:v>
      </x:c>
      <x:c r="Q324" s="21" t="n">
        <x:f>'Registro de vuelos'!F325</x:f>
        <x:v>0</x:v>
      </x:c>
      <x:c r="R324" s="21" t="str">
        <x:f>IF(N324="","",IF(AND(COUNTIFS($N$3:$N$502,N324,$O$3:$O$502,O324,$P$3:$P$502,P324,$Q$3:$Q$502,"&gt;"&amp;Q324)=0,COUNTIFS($N$3:N324,N324,$O$3:O324,O324,$P$3:P324,P324,$Q$3:Q324,Q324)=1),1,0))</x:f>
      </x:c>
      <x:c r="S324" s="21" t="n">
        <x:f t="shared" si="7">IF(R324=1,Q324,0)</x:f>
        <x:v>0</x:v>
      </x:c>
      <x:c r="T324" s="15"/>
      <x:c r="U324" s="15"/>
      <x:c r="V324" s="15"/>
      <x:c r="W324" s="15"/>
      <x:c r="X324" s="15"/>
      <x:c r="Y324" s="15"/>
      <x:c r="Z324" s="14"/>
    </x:row>
    <x:row r="325" ht="14.399999618530273" customHeight="1">
      <x:c r="A325" s="14"/>
      <x:c r="B325" s="14"/>
      <x:c r="C325" s="14"/>
      <x:c r="D325" s="14"/>
      <x:c r="E325" s="14"/>
      <x:c r="F325" s="14"/>
      <x:c r="G325" s="14"/>
      <x:c r="H325" s="14"/>
      <x:c r="I325" s="14"/>
      <x:c r="J325" s="14"/>
      <x:c r="K325" s="14"/>
      <x:c r="L325" s="14"/>
      <x:c r="M325" s="14"/>
      <x:c r="N325" s="93" t="n">
        <x:f>'Registro de vuelos'!A326</x:f>
        <x:v>0</x:v>
      </x:c>
      <x:c r="O325" s="15" t="n">
        <x:f>'Registro de vuelos'!C326</x:f>
        <x:v>0</x:v>
      </x:c>
      <x:c r="P325" s="15" t="n">
        <x:f>'Registro de vuelos'!E326</x:f>
        <x:v>0</x:v>
      </x:c>
      <x:c r="Q325" s="21" t="n">
        <x:f>'Registro de vuelos'!F326</x:f>
        <x:v>0</x:v>
      </x:c>
      <x:c r="R325" s="21" t="str">
        <x:f>IF(N325="","",IF(AND(COUNTIFS($N$3:$N$502,N325,$O$3:$O$502,O325,$P$3:$P$502,P325,$Q$3:$Q$502,"&gt;"&amp;Q325)=0,COUNTIFS($N$3:N325,N325,$O$3:O325,O325,$P$3:P325,P325,$Q$3:Q325,Q325)=1),1,0))</x:f>
      </x:c>
      <x:c r="S325" s="21" t="n">
        <x:f t="shared" si="7">IF(R325=1,Q325,0)</x:f>
        <x:v>0</x:v>
      </x:c>
      <x:c r="T325" s="15"/>
      <x:c r="U325" s="15"/>
      <x:c r="V325" s="15"/>
      <x:c r="W325" s="15"/>
      <x:c r="X325" s="15"/>
      <x:c r="Y325" s="15"/>
      <x:c r="Z325" s="14"/>
    </x:row>
    <x:row r="326" ht="14.399999618530273" customHeight="1">
      <x:c r="A326" s="14"/>
      <x:c r="B326" s="14"/>
      <x:c r="C326" s="14"/>
      <x:c r="D326" s="14"/>
      <x:c r="E326" s="14"/>
      <x:c r="F326" s="14"/>
      <x:c r="G326" s="14"/>
      <x:c r="H326" s="14"/>
      <x:c r="I326" s="14"/>
      <x:c r="J326" s="14"/>
      <x:c r="K326" s="14"/>
      <x:c r="L326" s="14"/>
      <x:c r="M326" s="14"/>
      <x:c r="N326" s="93" t="n">
        <x:f>'Registro de vuelos'!A327</x:f>
        <x:v>0</x:v>
      </x:c>
      <x:c r="O326" s="15" t="n">
        <x:f>'Registro de vuelos'!C327</x:f>
        <x:v>0</x:v>
      </x:c>
      <x:c r="P326" s="15" t="n">
        <x:f>'Registro de vuelos'!E327</x:f>
        <x:v>0</x:v>
      </x:c>
      <x:c r="Q326" s="21" t="n">
        <x:f>'Registro de vuelos'!F327</x:f>
        <x:v>0</x:v>
      </x:c>
      <x:c r="R326" s="21" t="str">
        <x:f>IF(N326="","",IF(AND(COUNTIFS($N$3:$N$502,N326,$O$3:$O$502,O326,$P$3:$P$502,P326,$Q$3:$Q$502,"&gt;"&amp;Q326)=0,COUNTIFS($N$3:N326,N326,$O$3:O326,O326,$P$3:P326,P326,$Q$3:Q326,Q326)=1),1,0))</x:f>
      </x:c>
      <x:c r="S326" s="21" t="n">
        <x:f t="shared" si="7">IF(R326=1,Q326,0)</x:f>
        <x:v>0</x:v>
      </x:c>
      <x:c r="T326" s="15"/>
      <x:c r="U326" s="15"/>
      <x:c r="V326" s="15"/>
      <x:c r="W326" s="15"/>
      <x:c r="X326" s="15"/>
      <x:c r="Y326" s="15"/>
      <x:c r="Z326" s="14"/>
    </x:row>
    <x:row r="327" ht="14.399999618530273" customHeight="1">
      <x:c r="A327" s="14"/>
      <x:c r="B327" s="14"/>
      <x:c r="C327" s="14"/>
      <x:c r="D327" s="14"/>
      <x:c r="E327" s="14"/>
      <x:c r="F327" s="14"/>
      <x:c r="G327" s="14"/>
      <x:c r="H327" s="14"/>
      <x:c r="I327" s="14"/>
      <x:c r="J327" s="14"/>
      <x:c r="K327" s="14"/>
      <x:c r="L327" s="14"/>
      <x:c r="M327" s="14"/>
      <x:c r="N327" s="93" t="n">
        <x:f>'Registro de vuelos'!A328</x:f>
        <x:v>0</x:v>
      </x:c>
      <x:c r="O327" s="15" t="n">
        <x:f>'Registro de vuelos'!C328</x:f>
        <x:v>0</x:v>
      </x:c>
      <x:c r="P327" s="15" t="n">
        <x:f>'Registro de vuelos'!E328</x:f>
        <x:v>0</x:v>
      </x:c>
      <x:c r="Q327" s="21" t="n">
        <x:f>'Registro de vuelos'!F328</x:f>
        <x:v>0</x:v>
      </x:c>
      <x:c r="R327" s="21" t="str">
        <x:f>IF(N327="","",IF(AND(COUNTIFS($N$3:$N$502,N327,$O$3:$O$502,O327,$P$3:$P$502,P327,$Q$3:$Q$502,"&gt;"&amp;Q327)=0,COUNTIFS($N$3:N327,N327,$O$3:O327,O327,$P$3:P327,P327,$Q$3:Q327,Q327)=1),1,0))</x:f>
      </x:c>
      <x:c r="S327" s="21" t="n">
        <x:f t="shared" si="7">IF(R327=1,Q327,0)</x:f>
        <x:v>0</x:v>
      </x:c>
      <x:c r="T327" s="15"/>
      <x:c r="U327" s="15"/>
      <x:c r="V327" s="15"/>
      <x:c r="W327" s="15"/>
      <x:c r="X327" s="15"/>
      <x:c r="Y327" s="15"/>
      <x:c r="Z327" s="14"/>
    </x:row>
    <x:row r="328" ht="14.399999618530273" customHeight="1">
      <x:c r="A328" s="14"/>
      <x:c r="B328" s="14"/>
      <x:c r="C328" s="14"/>
      <x:c r="D328" s="14"/>
      <x:c r="E328" s="14"/>
      <x:c r="F328" s="14"/>
      <x:c r="G328" s="14"/>
      <x:c r="H328" s="14"/>
      <x:c r="I328" s="14"/>
      <x:c r="J328" s="14"/>
      <x:c r="K328" s="14"/>
      <x:c r="L328" s="14"/>
      <x:c r="M328" s="14"/>
      <x:c r="N328" s="93" t="n">
        <x:f>'Registro de vuelos'!A329</x:f>
        <x:v>0</x:v>
      </x:c>
      <x:c r="O328" s="15" t="n">
        <x:f>'Registro de vuelos'!C329</x:f>
        <x:v>0</x:v>
      </x:c>
      <x:c r="P328" s="15" t="n">
        <x:f>'Registro de vuelos'!E329</x:f>
        <x:v>0</x:v>
      </x:c>
      <x:c r="Q328" s="21" t="n">
        <x:f>'Registro de vuelos'!F329</x:f>
        <x:v>0</x:v>
      </x:c>
      <x:c r="R328" s="21" t="str">
        <x:f>IF(N328="","",IF(AND(COUNTIFS($N$3:$N$502,N328,$O$3:$O$502,O328,$P$3:$P$502,P328,$Q$3:$Q$502,"&gt;"&amp;Q328)=0,COUNTIFS($N$3:N328,N328,$O$3:O328,O328,$P$3:P328,P328,$Q$3:Q328,Q328)=1),1,0))</x:f>
      </x:c>
      <x:c r="S328" s="21" t="n">
        <x:f t="shared" si="7">IF(R328=1,Q328,0)</x:f>
        <x:v>0</x:v>
      </x:c>
      <x:c r="T328" s="15"/>
      <x:c r="U328" s="15"/>
      <x:c r="V328" s="15"/>
      <x:c r="W328" s="15"/>
      <x:c r="X328" s="15"/>
      <x:c r="Y328" s="15"/>
      <x:c r="Z328" s="14"/>
    </x:row>
    <x:row r="329" ht="14.399999618530273" customHeight="1">
      <x:c r="A329" s="14"/>
      <x:c r="B329" s="14"/>
      <x:c r="C329" s="14"/>
      <x:c r="D329" s="14"/>
      <x:c r="E329" s="14"/>
      <x:c r="F329" s="14"/>
      <x:c r="G329" s="14"/>
      <x:c r="H329" s="14"/>
      <x:c r="I329" s="14"/>
      <x:c r="J329" s="14"/>
      <x:c r="K329" s="14"/>
      <x:c r="L329" s="14"/>
      <x:c r="M329" s="14"/>
      <x:c r="N329" s="93" t="n">
        <x:f>'Registro de vuelos'!A330</x:f>
        <x:v>0</x:v>
      </x:c>
      <x:c r="O329" s="15" t="n">
        <x:f>'Registro de vuelos'!C330</x:f>
        <x:v>0</x:v>
      </x:c>
      <x:c r="P329" s="15" t="n">
        <x:f>'Registro de vuelos'!E330</x:f>
        <x:v>0</x:v>
      </x:c>
      <x:c r="Q329" s="21" t="n">
        <x:f>'Registro de vuelos'!F330</x:f>
        <x:v>0</x:v>
      </x:c>
      <x:c r="R329" s="21" t="str">
        <x:f>IF(N329="","",IF(AND(COUNTIFS($N$3:$N$502,N329,$O$3:$O$502,O329,$P$3:$P$502,P329,$Q$3:$Q$502,"&gt;"&amp;Q329)=0,COUNTIFS($N$3:N329,N329,$O$3:O329,O329,$P$3:P329,P329,$Q$3:Q329,Q329)=1),1,0))</x:f>
      </x:c>
      <x:c r="S329" s="21" t="n">
        <x:f t="shared" si="7">IF(R329=1,Q329,0)</x:f>
        <x:v>0</x:v>
      </x:c>
      <x:c r="T329" s="15"/>
      <x:c r="U329" s="15"/>
      <x:c r="V329" s="15"/>
      <x:c r="W329" s="15"/>
      <x:c r="X329" s="15"/>
      <x:c r="Y329" s="15"/>
      <x:c r="Z329" s="14"/>
    </x:row>
    <x:row r="330" ht="14.399999618530273" customHeight="1">
      <x:c r="A330" s="14"/>
      <x:c r="B330" s="14"/>
      <x:c r="C330" s="14"/>
      <x:c r="D330" s="14"/>
      <x:c r="E330" s="14"/>
      <x:c r="F330" s="14"/>
      <x:c r="G330" s="14"/>
      <x:c r="H330" s="14"/>
      <x:c r="I330" s="14"/>
      <x:c r="J330" s="14"/>
      <x:c r="K330" s="14"/>
      <x:c r="L330" s="14"/>
      <x:c r="M330" s="14"/>
      <x:c r="N330" s="93" t="n">
        <x:f>'Registro de vuelos'!A331</x:f>
        <x:v>0</x:v>
      </x:c>
      <x:c r="O330" s="15" t="n">
        <x:f>'Registro de vuelos'!C331</x:f>
        <x:v>0</x:v>
      </x:c>
      <x:c r="P330" s="15" t="n">
        <x:f>'Registro de vuelos'!E331</x:f>
        <x:v>0</x:v>
      </x:c>
      <x:c r="Q330" s="21" t="n">
        <x:f>'Registro de vuelos'!F331</x:f>
        <x:v>0</x:v>
      </x:c>
      <x:c r="R330" s="21" t="str">
        <x:f>IF(N330="","",IF(AND(COUNTIFS($N$3:$N$502,N330,$O$3:$O$502,O330,$P$3:$P$502,P330,$Q$3:$Q$502,"&gt;"&amp;Q330)=0,COUNTIFS($N$3:N330,N330,$O$3:O330,O330,$P$3:P330,P330,$Q$3:Q330,Q330)=1),1,0))</x:f>
      </x:c>
      <x:c r="S330" s="21" t="n">
        <x:f t="shared" si="7">IF(R330=1,Q330,0)</x:f>
        <x:v>0</x:v>
      </x:c>
      <x:c r="T330" s="15"/>
      <x:c r="U330" s="15"/>
      <x:c r="V330" s="15"/>
      <x:c r="W330" s="15"/>
      <x:c r="X330" s="15"/>
      <x:c r="Y330" s="15"/>
      <x:c r="Z330" s="14"/>
    </x:row>
    <x:row r="331" ht="14.399999618530273" customHeight="1">
      <x:c r="A331" s="14"/>
      <x:c r="B331" s="14"/>
      <x:c r="C331" s="14"/>
      <x:c r="D331" s="14"/>
      <x:c r="E331" s="14"/>
      <x:c r="F331" s="14"/>
      <x:c r="G331" s="14"/>
      <x:c r="H331" s="14"/>
      <x:c r="I331" s="14"/>
      <x:c r="J331" s="14"/>
      <x:c r="K331" s="14"/>
      <x:c r="L331" s="14"/>
      <x:c r="M331" s="14"/>
      <x:c r="N331" s="93" t="n">
        <x:f>'Registro de vuelos'!A332</x:f>
        <x:v>0</x:v>
      </x:c>
      <x:c r="O331" s="15" t="n">
        <x:f>'Registro de vuelos'!C332</x:f>
        <x:v>0</x:v>
      </x:c>
      <x:c r="P331" s="15" t="n">
        <x:f>'Registro de vuelos'!E332</x:f>
        <x:v>0</x:v>
      </x:c>
      <x:c r="Q331" s="21" t="n">
        <x:f>'Registro de vuelos'!F332</x:f>
        <x:v>0</x:v>
      </x:c>
      <x:c r="R331" s="21" t="str">
        <x:f>IF(N331="","",IF(AND(COUNTIFS($N$3:$N$502,N331,$O$3:$O$502,O331,$P$3:$P$502,P331,$Q$3:$Q$502,"&gt;"&amp;Q331)=0,COUNTIFS($N$3:N331,N331,$O$3:O331,O331,$P$3:P331,P331,$Q$3:Q331,Q331)=1),1,0))</x:f>
      </x:c>
      <x:c r="S331" s="21" t="n">
        <x:f t="shared" si="7">IF(R331=1,Q331,0)</x:f>
        <x:v>0</x:v>
      </x:c>
      <x:c r="T331" s="15"/>
      <x:c r="U331" s="15"/>
      <x:c r="V331" s="15"/>
      <x:c r="W331" s="15"/>
      <x:c r="X331" s="15"/>
      <x:c r="Y331" s="15"/>
      <x:c r="Z331" s="14"/>
    </x:row>
    <x:row r="332" ht="14.399999618530273" customHeight="1">
      <x:c r="A332" s="14"/>
      <x:c r="B332" s="14"/>
      <x:c r="C332" s="14"/>
      <x:c r="D332" s="14"/>
      <x:c r="E332" s="14"/>
      <x:c r="F332" s="14"/>
      <x:c r="G332" s="14"/>
      <x:c r="H332" s="14"/>
      <x:c r="I332" s="14"/>
      <x:c r="J332" s="14"/>
      <x:c r="K332" s="14"/>
      <x:c r="L332" s="14"/>
      <x:c r="M332" s="14"/>
      <x:c r="N332" s="93" t="n">
        <x:f>'Registro de vuelos'!A333</x:f>
        <x:v>0</x:v>
      </x:c>
      <x:c r="O332" s="15" t="n">
        <x:f>'Registro de vuelos'!C333</x:f>
        <x:v>0</x:v>
      </x:c>
      <x:c r="P332" s="15" t="n">
        <x:f>'Registro de vuelos'!E333</x:f>
        <x:v>0</x:v>
      </x:c>
      <x:c r="Q332" s="21" t="n">
        <x:f>'Registro de vuelos'!F333</x:f>
        <x:v>0</x:v>
      </x:c>
      <x:c r="R332" s="21" t="str">
        <x:f>IF(N332="","",IF(AND(COUNTIFS($N$3:$N$502,N332,$O$3:$O$502,O332,$P$3:$P$502,P332,$Q$3:$Q$502,"&gt;"&amp;Q332)=0,COUNTIFS($N$3:N332,N332,$O$3:O332,O332,$P$3:P332,P332,$Q$3:Q332,Q332)=1),1,0))</x:f>
      </x:c>
      <x:c r="S332" s="21" t="n">
        <x:f t="shared" si="7">IF(R332=1,Q332,0)</x:f>
        <x:v>0</x:v>
      </x:c>
      <x:c r="T332" s="15"/>
      <x:c r="U332" s="15"/>
      <x:c r="V332" s="15"/>
      <x:c r="W332" s="15"/>
      <x:c r="X332" s="15"/>
      <x:c r="Y332" s="15"/>
      <x:c r="Z332" s="14"/>
    </x:row>
    <x:row r="333" ht="14.399999618530273" customHeight="1">
      <x:c r="A333" s="14"/>
      <x:c r="B333" s="14"/>
      <x:c r="C333" s="14"/>
      <x:c r="D333" s="14"/>
      <x:c r="E333" s="14"/>
      <x:c r="F333" s="14"/>
      <x:c r="G333" s="14"/>
      <x:c r="H333" s="14"/>
      <x:c r="I333" s="14"/>
      <x:c r="J333" s="14"/>
      <x:c r="K333" s="14"/>
      <x:c r="L333" s="14"/>
      <x:c r="M333" s="14"/>
      <x:c r="N333" s="93" t="n">
        <x:f>'Registro de vuelos'!A334</x:f>
        <x:v>0</x:v>
      </x:c>
      <x:c r="O333" s="15" t="n">
        <x:f>'Registro de vuelos'!C334</x:f>
        <x:v>0</x:v>
      </x:c>
      <x:c r="P333" s="15" t="n">
        <x:f>'Registro de vuelos'!E334</x:f>
        <x:v>0</x:v>
      </x:c>
      <x:c r="Q333" s="21" t="n">
        <x:f>'Registro de vuelos'!F334</x:f>
        <x:v>0</x:v>
      </x:c>
      <x:c r="R333" s="21" t="str">
        <x:f>IF(N333="","",IF(AND(COUNTIFS($N$3:$N$502,N333,$O$3:$O$502,O333,$P$3:$P$502,P333,$Q$3:$Q$502,"&gt;"&amp;Q333)=0,COUNTIFS($N$3:N333,N333,$O$3:O333,O333,$P$3:P333,P333,$Q$3:Q333,Q333)=1),1,0))</x:f>
      </x:c>
      <x:c r="S333" s="21" t="n">
        <x:f t="shared" si="7">IF(R333=1,Q333,0)</x:f>
        <x:v>0</x:v>
      </x:c>
      <x:c r="T333" s="15"/>
      <x:c r="U333" s="15"/>
      <x:c r="V333" s="15"/>
      <x:c r="W333" s="15"/>
      <x:c r="X333" s="15"/>
      <x:c r="Y333" s="15"/>
      <x:c r="Z333" s="14"/>
    </x:row>
    <x:row r="334" ht="14.399999618530273" customHeight="1">
      <x:c r="A334" s="14"/>
      <x:c r="B334" s="14"/>
      <x:c r="C334" s="14"/>
      <x:c r="D334" s="14"/>
      <x:c r="E334" s="14"/>
      <x:c r="F334" s="14"/>
      <x:c r="G334" s="14"/>
      <x:c r="H334" s="14"/>
      <x:c r="I334" s="14"/>
      <x:c r="J334" s="14"/>
      <x:c r="K334" s="14"/>
      <x:c r="L334" s="14"/>
      <x:c r="M334" s="14"/>
      <x:c r="N334" s="93" t="n">
        <x:f>'Registro de vuelos'!A335</x:f>
        <x:v>0</x:v>
      </x:c>
      <x:c r="O334" s="15" t="n">
        <x:f>'Registro de vuelos'!C335</x:f>
        <x:v>0</x:v>
      </x:c>
      <x:c r="P334" s="15" t="n">
        <x:f>'Registro de vuelos'!E335</x:f>
        <x:v>0</x:v>
      </x:c>
      <x:c r="Q334" s="21" t="n">
        <x:f>'Registro de vuelos'!F335</x:f>
        <x:v>0</x:v>
      </x:c>
      <x:c r="R334" s="21" t="str">
        <x:f>IF(N334="","",IF(AND(COUNTIFS($N$3:$N$502,N334,$O$3:$O$502,O334,$P$3:$P$502,P334,$Q$3:$Q$502,"&gt;"&amp;Q334)=0,COUNTIFS($N$3:N334,N334,$O$3:O334,O334,$P$3:P334,P334,$Q$3:Q334,Q334)=1),1,0))</x:f>
      </x:c>
      <x:c r="S334" s="21" t="n">
        <x:f t="shared" si="7">IF(R334=1,Q334,0)</x:f>
        <x:v>0</x:v>
      </x:c>
      <x:c r="T334" s="15"/>
      <x:c r="U334" s="15"/>
      <x:c r="V334" s="15"/>
      <x:c r="W334" s="15"/>
      <x:c r="X334" s="15"/>
      <x:c r="Y334" s="15"/>
      <x:c r="Z334" s="14"/>
    </x:row>
    <x:row r="335" ht="14.399999618530273" customHeight="1">
      <x:c r="A335" s="14"/>
      <x:c r="B335" s="14"/>
      <x:c r="C335" s="14"/>
      <x:c r="D335" s="14"/>
      <x:c r="E335" s="14"/>
      <x:c r="F335" s="14"/>
      <x:c r="G335" s="14"/>
      <x:c r="H335" s="14"/>
      <x:c r="I335" s="14"/>
      <x:c r="J335" s="14"/>
      <x:c r="K335" s="14"/>
      <x:c r="L335" s="14"/>
      <x:c r="M335" s="14"/>
      <x:c r="N335" s="93" t="n">
        <x:f>'Registro de vuelos'!A336</x:f>
        <x:v>0</x:v>
      </x:c>
      <x:c r="O335" s="15" t="n">
        <x:f>'Registro de vuelos'!C336</x:f>
        <x:v>0</x:v>
      </x:c>
      <x:c r="P335" s="15" t="n">
        <x:f>'Registro de vuelos'!E336</x:f>
        <x:v>0</x:v>
      </x:c>
      <x:c r="Q335" s="21" t="n">
        <x:f>'Registro de vuelos'!F336</x:f>
        <x:v>0</x:v>
      </x:c>
      <x:c r="R335" s="21" t="str">
        <x:f>IF(N335="","",IF(AND(COUNTIFS($N$3:$N$502,N335,$O$3:$O$502,O335,$P$3:$P$502,P335,$Q$3:$Q$502,"&gt;"&amp;Q335)=0,COUNTIFS($N$3:N335,N335,$O$3:O335,O335,$P$3:P335,P335,$Q$3:Q335,Q335)=1),1,0))</x:f>
      </x:c>
      <x:c r="S335" s="21" t="n">
        <x:f t="shared" si="7">IF(R335=1,Q335,0)</x:f>
        <x:v>0</x:v>
      </x:c>
      <x:c r="T335" s="15"/>
      <x:c r="U335" s="15"/>
      <x:c r="V335" s="15"/>
      <x:c r="W335" s="15"/>
      <x:c r="X335" s="15"/>
      <x:c r="Y335" s="15"/>
      <x:c r="Z335" s="14"/>
    </x:row>
    <x:row r="336" ht="14.399999618530273" customHeight="1">
      <x:c r="A336" s="14"/>
      <x:c r="B336" s="14"/>
      <x:c r="C336" s="14"/>
      <x:c r="D336" s="14"/>
      <x:c r="E336" s="14"/>
      <x:c r="F336" s="14"/>
      <x:c r="G336" s="14"/>
      <x:c r="H336" s="14"/>
      <x:c r="I336" s="14"/>
      <x:c r="J336" s="14"/>
      <x:c r="K336" s="14"/>
      <x:c r="L336" s="14"/>
      <x:c r="M336" s="14"/>
      <x:c r="N336" s="93" t="n">
        <x:f>'Registro de vuelos'!A337</x:f>
        <x:v>0</x:v>
      </x:c>
      <x:c r="O336" s="15" t="n">
        <x:f>'Registro de vuelos'!C337</x:f>
        <x:v>0</x:v>
      </x:c>
      <x:c r="P336" s="15" t="n">
        <x:f>'Registro de vuelos'!E337</x:f>
        <x:v>0</x:v>
      </x:c>
      <x:c r="Q336" s="21" t="n">
        <x:f>'Registro de vuelos'!F337</x:f>
        <x:v>0</x:v>
      </x:c>
      <x:c r="R336" s="21" t="str">
        <x:f>IF(N336="","",IF(AND(COUNTIFS($N$3:$N$502,N336,$O$3:$O$502,O336,$P$3:$P$502,P336,$Q$3:$Q$502,"&gt;"&amp;Q336)=0,COUNTIFS($N$3:N336,N336,$O$3:O336,O336,$P$3:P336,P336,$Q$3:Q336,Q336)=1),1,0))</x:f>
      </x:c>
      <x:c r="S336" s="21" t="n">
        <x:f t="shared" si="7">IF(R336=1,Q336,0)</x:f>
        <x:v>0</x:v>
      </x:c>
      <x:c r="T336" s="15"/>
      <x:c r="U336" s="15"/>
      <x:c r="V336" s="15"/>
      <x:c r="W336" s="15"/>
      <x:c r="X336" s="15"/>
      <x:c r="Y336" s="15"/>
      <x:c r="Z336" s="14"/>
    </x:row>
    <x:row r="337" ht="14.399999618530273" customHeight="1">
      <x:c r="A337" s="14"/>
      <x:c r="B337" s="14"/>
      <x:c r="C337" s="14"/>
      <x:c r="D337" s="14"/>
      <x:c r="E337" s="14"/>
      <x:c r="F337" s="14"/>
      <x:c r="G337" s="14"/>
      <x:c r="H337" s="14"/>
      <x:c r="I337" s="14"/>
      <x:c r="J337" s="14"/>
      <x:c r="K337" s="14"/>
      <x:c r="L337" s="14"/>
      <x:c r="M337" s="14"/>
      <x:c r="N337" s="93" t="n">
        <x:f>'Registro de vuelos'!A338</x:f>
        <x:v>0</x:v>
      </x:c>
      <x:c r="O337" s="15" t="n">
        <x:f>'Registro de vuelos'!C338</x:f>
        <x:v>0</x:v>
      </x:c>
      <x:c r="P337" s="15" t="n">
        <x:f>'Registro de vuelos'!E338</x:f>
        <x:v>0</x:v>
      </x:c>
      <x:c r="Q337" s="21" t="n">
        <x:f>'Registro de vuelos'!F338</x:f>
        <x:v>0</x:v>
      </x:c>
      <x:c r="R337" s="21" t="str">
        <x:f>IF(N337="","",IF(AND(COUNTIFS($N$3:$N$502,N337,$O$3:$O$502,O337,$P$3:$P$502,P337,$Q$3:$Q$502,"&gt;"&amp;Q337)=0,COUNTIFS($N$3:N337,N337,$O$3:O337,O337,$P$3:P337,P337,$Q$3:Q337,Q337)=1),1,0))</x:f>
      </x:c>
      <x:c r="S337" s="21" t="n">
        <x:f t="shared" si="7">IF(R337=1,Q337,0)</x:f>
        <x:v>0</x:v>
      </x:c>
      <x:c r="T337" s="15"/>
      <x:c r="U337" s="15"/>
      <x:c r="V337" s="15"/>
      <x:c r="W337" s="15"/>
      <x:c r="X337" s="15"/>
      <x:c r="Y337" s="15"/>
      <x:c r="Z337" s="14"/>
    </x:row>
    <x:row r="338" ht="14.399999618530273" customHeight="1">
      <x:c r="A338" s="14"/>
      <x:c r="B338" s="14"/>
      <x:c r="C338" s="14"/>
      <x:c r="D338" s="14"/>
      <x:c r="E338" s="14"/>
      <x:c r="F338" s="14"/>
      <x:c r="G338" s="14"/>
      <x:c r="H338" s="14"/>
      <x:c r="I338" s="14"/>
      <x:c r="J338" s="14"/>
      <x:c r="K338" s="14"/>
      <x:c r="L338" s="14"/>
      <x:c r="M338" s="14"/>
      <x:c r="N338" s="93" t="n">
        <x:f>'Registro de vuelos'!A339</x:f>
        <x:v>0</x:v>
      </x:c>
      <x:c r="O338" s="15" t="n">
        <x:f>'Registro de vuelos'!C339</x:f>
        <x:v>0</x:v>
      </x:c>
      <x:c r="P338" s="15" t="n">
        <x:f>'Registro de vuelos'!E339</x:f>
        <x:v>0</x:v>
      </x:c>
      <x:c r="Q338" s="21" t="n">
        <x:f>'Registro de vuelos'!F339</x:f>
        <x:v>0</x:v>
      </x:c>
      <x:c r="R338" s="21" t="str">
        <x:f>IF(N338="","",IF(AND(COUNTIFS($N$3:$N$502,N338,$O$3:$O$502,O338,$P$3:$P$502,P338,$Q$3:$Q$502,"&gt;"&amp;Q338)=0,COUNTIFS($N$3:N338,N338,$O$3:O338,O338,$P$3:P338,P338,$Q$3:Q338,Q338)=1),1,0))</x:f>
      </x:c>
      <x:c r="S338" s="21" t="n">
        <x:f t="shared" si="7">IF(R338=1,Q338,0)</x:f>
        <x:v>0</x:v>
      </x:c>
      <x:c r="T338" s="15"/>
      <x:c r="U338" s="15"/>
      <x:c r="V338" s="15"/>
      <x:c r="W338" s="15"/>
      <x:c r="X338" s="15"/>
      <x:c r="Y338" s="15"/>
      <x:c r="Z338" s="14"/>
    </x:row>
    <x:row r="339" ht="14.399999618530273" customHeight="1">
      <x:c r="A339" s="14"/>
      <x:c r="B339" s="14"/>
      <x:c r="C339" s="14"/>
      <x:c r="D339" s="14"/>
      <x:c r="E339" s="14"/>
      <x:c r="F339" s="14"/>
      <x:c r="G339" s="14"/>
      <x:c r="H339" s="14"/>
      <x:c r="I339" s="14"/>
      <x:c r="J339" s="14"/>
      <x:c r="K339" s="14"/>
      <x:c r="L339" s="14"/>
      <x:c r="M339" s="14"/>
      <x:c r="N339" s="93" t="n">
        <x:f>'Registro de vuelos'!A340</x:f>
        <x:v>0</x:v>
      </x:c>
      <x:c r="O339" s="15" t="n">
        <x:f>'Registro de vuelos'!C340</x:f>
        <x:v>0</x:v>
      </x:c>
      <x:c r="P339" s="15" t="n">
        <x:f>'Registro de vuelos'!E340</x:f>
        <x:v>0</x:v>
      </x:c>
      <x:c r="Q339" s="21" t="n">
        <x:f>'Registro de vuelos'!F340</x:f>
        <x:v>0</x:v>
      </x:c>
      <x:c r="R339" s="21" t="str">
        <x:f>IF(N339="","",IF(AND(COUNTIFS($N$3:$N$502,N339,$O$3:$O$502,O339,$P$3:$P$502,P339,$Q$3:$Q$502,"&gt;"&amp;Q339)=0,COUNTIFS($N$3:N339,N339,$O$3:O339,O339,$P$3:P339,P339,$Q$3:Q339,Q339)=1),1,0))</x:f>
      </x:c>
      <x:c r="S339" s="21" t="n">
        <x:f t="shared" si="7">IF(R339=1,Q339,0)</x:f>
        <x:v>0</x:v>
      </x:c>
      <x:c r="T339" s="15"/>
      <x:c r="U339" s="15"/>
      <x:c r="V339" s="15"/>
      <x:c r="W339" s="15"/>
      <x:c r="X339" s="15"/>
      <x:c r="Y339" s="15"/>
      <x:c r="Z339" s="14"/>
    </x:row>
    <x:row r="340" ht="14.399999618530273" customHeight="1">
      <x:c r="A340" s="14"/>
      <x:c r="B340" s="14"/>
      <x:c r="C340" s="14"/>
      <x:c r="D340" s="14"/>
      <x:c r="E340" s="14"/>
      <x:c r="F340" s="14"/>
      <x:c r="G340" s="14"/>
      <x:c r="H340" s="14"/>
      <x:c r="I340" s="14"/>
      <x:c r="J340" s="14"/>
      <x:c r="K340" s="14"/>
      <x:c r="L340" s="14"/>
      <x:c r="M340" s="14"/>
      <x:c r="N340" s="93" t="n">
        <x:f>'Registro de vuelos'!A341</x:f>
        <x:v>0</x:v>
      </x:c>
      <x:c r="O340" s="15" t="n">
        <x:f>'Registro de vuelos'!C341</x:f>
        <x:v>0</x:v>
      </x:c>
      <x:c r="P340" s="15" t="n">
        <x:f>'Registro de vuelos'!E341</x:f>
        <x:v>0</x:v>
      </x:c>
      <x:c r="Q340" s="21" t="n">
        <x:f>'Registro de vuelos'!F341</x:f>
        <x:v>0</x:v>
      </x:c>
      <x:c r="R340" s="21" t="str">
        <x:f>IF(N340="","",IF(AND(COUNTIFS($N$3:$N$502,N340,$O$3:$O$502,O340,$P$3:$P$502,P340,$Q$3:$Q$502,"&gt;"&amp;Q340)=0,COUNTIFS($N$3:N340,N340,$O$3:O340,O340,$P$3:P340,P340,$Q$3:Q340,Q340)=1),1,0))</x:f>
      </x:c>
      <x:c r="S340" s="21" t="n">
        <x:f t="shared" si="7">IF(R340=1,Q340,0)</x:f>
        <x:v>0</x:v>
      </x:c>
      <x:c r="T340" s="15"/>
      <x:c r="U340" s="15"/>
      <x:c r="V340" s="15"/>
      <x:c r="W340" s="15"/>
      <x:c r="X340" s="15"/>
      <x:c r="Y340" s="15"/>
      <x:c r="Z340" s="14"/>
    </x:row>
    <x:row r="341" ht="14.399999618530273" customHeight="1">
      <x:c r="A341" s="14"/>
      <x:c r="B341" s="14"/>
      <x:c r="C341" s="14"/>
      <x:c r="D341" s="14"/>
      <x:c r="E341" s="14"/>
      <x:c r="F341" s="14"/>
      <x:c r="G341" s="14"/>
      <x:c r="H341" s="14"/>
      <x:c r="I341" s="14"/>
      <x:c r="J341" s="14"/>
      <x:c r="K341" s="14"/>
      <x:c r="L341" s="14"/>
      <x:c r="M341" s="14"/>
      <x:c r="N341" s="93" t="n">
        <x:f>'Registro de vuelos'!A342</x:f>
        <x:v>0</x:v>
      </x:c>
      <x:c r="O341" s="15" t="n">
        <x:f>'Registro de vuelos'!C342</x:f>
        <x:v>0</x:v>
      </x:c>
      <x:c r="P341" s="15" t="n">
        <x:f>'Registro de vuelos'!E342</x:f>
        <x:v>0</x:v>
      </x:c>
      <x:c r="Q341" s="21" t="n">
        <x:f>'Registro de vuelos'!F342</x:f>
        <x:v>0</x:v>
      </x:c>
      <x:c r="R341" s="21" t="str">
        <x:f>IF(N341="","",IF(AND(COUNTIFS($N$3:$N$502,N341,$O$3:$O$502,O341,$P$3:$P$502,P341,$Q$3:$Q$502,"&gt;"&amp;Q341)=0,COUNTIFS($N$3:N341,N341,$O$3:O341,O341,$P$3:P341,P341,$Q$3:Q341,Q341)=1),1,0))</x:f>
      </x:c>
      <x:c r="S341" s="21" t="n">
        <x:f t="shared" si="7">IF(R341=1,Q341,0)</x:f>
        <x:v>0</x:v>
      </x:c>
      <x:c r="T341" s="15"/>
      <x:c r="U341" s="15"/>
      <x:c r="V341" s="15"/>
      <x:c r="W341" s="15"/>
      <x:c r="X341" s="15"/>
      <x:c r="Y341" s="15"/>
      <x:c r="Z341" s="14"/>
    </x:row>
    <x:row r="342" ht="14.399999618530273" customHeight="1">
      <x:c r="A342" s="14"/>
      <x:c r="B342" s="14"/>
      <x:c r="C342" s="14"/>
      <x:c r="D342" s="14"/>
      <x:c r="E342" s="14"/>
      <x:c r="F342" s="14"/>
      <x:c r="G342" s="14"/>
      <x:c r="H342" s="14"/>
      <x:c r="I342" s="14"/>
      <x:c r="J342" s="14"/>
      <x:c r="K342" s="14"/>
      <x:c r="L342" s="14"/>
      <x:c r="M342" s="14"/>
      <x:c r="N342" s="93" t="n">
        <x:f>'Registro de vuelos'!A343</x:f>
        <x:v>0</x:v>
      </x:c>
      <x:c r="O342" s="15" t="n">
        <x:f>'Registro de vuelos'!C343</x:f>
        <x:v>0</x:v>
      </x:c>
      <x:c r="P342" s="15" t="n">
        <x:f>'Registro de vuelos'!E343</x:f>
        <x:v>0</x:v>
      </x:c>
      <x:c r="Q342" s="21" t="n">
        <x:f>'Registro de vuelos'!F343</x:f>
        <x:v>0</x:v>
      </x:c>
      <x:c r="R342" s="21" t="str">
        <x:f>IF(N342="","",IF(AND(COUNTIFS($N$3:$N$502,N342,$O$3:$O$502,O342,$P$3:$P$502,P342,$Q$3:$Q$502,"&gt;"&amp;Q342)=0,COUNTIFS($N$3:N342,N342,$O$3:O342,O342,$P$3:P342,P342,$Q$3:Q342,Q342)=1),1,0))</x:f>
      </x:c>
      <x:c r="S342" s="21" t="n">
        <x:f t="shared" si="7">IF(R342=1,Q342,0)</x:f>
        <x:v>0</x:v>
      </x:c>
      <x:c r="T342" s="15"/>
      <x:c r="U342" s="15"/>
      <x:c r="V342" s="15"/>
      <x:c r="W342" s="15"/>
      <x:c r="X342" s="15"/>
      <x:c r="Y342" s="15"/>
      <x:c r="Z342" s="14"/>
    </x:row>
    <x:row r="343" ht="14.399999618530273" customHeight="1">
      <x:c r="A343" s="14"/>
      <x:c r="B343" s="14"/>
      <x:c r="C343" s="14"/>
      <x:c r="D343" s="14"/>
      <x:c r="E343" s="14"/>
      <x:c r="F343" s="14"/>
      <x:c r="G343" s="14"/>
      <x:c r="H343" s="14"/>
      <x:c r="I343" s="14"/>
      <x:c r="J343" s="14"/>
      <x:c r="K343" s="14"/>
      <x:c r="L343" s="14"/>
      <x:c r="M343" s="14"/>
      <x:c r="N343" s="93" t="n">
        <x:f>'Registro de vuelos'!A344</x:f>
        <x:v>0</x:v>
      </x:c>
      <x:c r="O343" s="15" t="n">
        <x:f>'Registro de vuelos'!C344</x:f>
        <x:v>0</x:v>
      </x:c>
      <x:c r="P343" s="15" t="n">
        <x:f>'Registro de vuelos'!E344</x:f>
        <x:v>0</x:v>
      </x:c>
      <x:c r="Q343" s="21" t="n">
        <x:f>'Registro de vuelos'!F344</x:f>
        <x:v>0</x:v>
      </x:c>
      <x:c r="R343" s="21" t="str">
        <x:f>IF(N343="","",IF(AND(COUNTIFS($N$3:$N$502,N343,$O$3:$O$502,O343,$P$3:$P$502,P343,$Q$3:$Q$502,"&gt;"&amp;Q343)=0,COUNTIFS($N$3:N343,N343,$O$3:O343,O343,$P$3:P343,P343,$Q$3:Q343,Q343)=1),1,0))</x:f>
      </x:c>
      <x:c r="S343" s="21" t="n">
        <x:f t="shared" si="7">IF(R343=1,Q343,0)</x:f>
        <x:v>0</x:v>
      </x:c>
      <x:c r="T343" s="15"/>
      <x:c r="U343" s="15"/>
      <x:c r="V343" s="15"/>
      <x:c r="W343" s="15"/>
      <x:c r="X343" s="15"/>
      <x:c r="Y343" s="15"/>
      <x:c r="Z343" s="14"/>
    </x:row>
    <x:row r="344" ht="14.399999618530273" customHeight="1">
      <x:c r="A344" s="14"/>
      <x:c r="B344" s="14"/>
      <x:c r="C344" s="14"/>
      <x:c r="D344" s="14"/>
      <x:c r="E344" s="14"/>
      <x:c r="F344" s="14"/>
      <x:c r="G344" s="14"/>
      <x:c r="H344" s="14"/>
      <x:c r="I344" s="14"/>
      <x:c r="J344" s="14"/>
      <x:c r="K344" s="14"/>
      <x:c r="L344" s="14"/>
      <x:c r="M344" s="14"/>
      <x:c r="N344" s="93" t="n">
        <x:f>'Registro de vuelos'!A345</x:f>
        <x:v>0</x:v>
      </x:c>
      <x:c r="O344" s="15" t="n">
        <x:f>'Registro de vuelos'!C345</x:f>
        <x:v>0</x:v>
      </x:c>
      <x:c r="P344" s="15" t="n">
        <x:f>'Registro de vuelos'!E345</x:f>
        <x:v>0</x:v>
      </x:c>
      <x:c r="Q344" s="21" t="n">
        <x:f>'Registro de vuelos'!F345</x:f>
        <x:v>0</x:v>
      </x:c>
      <x:c r="R344" s="21" t="str">
        <x:f>IF(N344="","",IF(AND(COUNTIFS($N$3:$N$502,N344,$O$3:$O$502,O344,$P$3:$P$502,P344,$Q$3:$Q$502,"&gt;"&amp;Q344)=0,COUNTIFS($N$3:N344,N344,$O$3:O344,O344,$P$3:P344,P344,$Q$3:Q344,Q344)=1),1,0))</x:f>
      </x:c>
      <x:c r="S344" s="21" t="n">
        <x:f t="shared" si="7">IF(R344=1,Q344,0)</x:f>
        <x:v>0</x:v>
      </x:c>
      <x:c r="T344" s="15"/>
      <x:c r="U344" s="15"/>
      <x:c r="V344" s="15"/>
      <x:c r="W344" s="15"/>
      <x:c r="X344" s="15"/>
      <x:c r="Y344" s="15"/>
      <x:c r="Z344" s="14"/>
    </x:row>
    <x:row r="345" ht="14.399999618530273" customHeight="1">
      <x:c r="A345" s="14"/>
      <x:c r="B345" s="14"/>
      <x:c r="C345" s="14"/>
      <x:c r="D345" s="14"/>
      <x:c r="E345" s="14"/>
      <x:c r="F345" s="14"/>
      <x:c r="G345" s="14"/>
      <x:c r="H345" s="14"/>
      <x:c r="I345" s="14"/>
      <x:c r="J345" s="14"/>
      <x:c r="K345" s="14"/>
      <x:c r="L345" s="14"/>
      <x:c r="M345" s="14"/>
      <x:c r="N345" s="93" t="n">
        <x:f>'Registro de vuelos'!A346</x:f>
        <x:v>0</x:v>
      </x:c>
      <x:c r="O345" s="15" t="n">
        <x:f>'Registro de vuelos'!C346</x:f>
        <x:v>0</x:v>
      </x:c>
      <x:c r="P345" s="15" t="n">
        <x:f>'Registro de vuelos'!E346</x:f>
        <x:v>0</x:v>
      </x:c>
      <x:c r="Q345" s="21" t="n">
        <x:f>'Registro de vuelos'!F346</x:f>
        <x:v>0</x:v>
      </x:c>
      <x:c r="R345" s="21" t="str">
        <x:f>IF(N345="","",IF(AND(COUNTIFS($N$3:$N$502,N345,$O$3:$O$502,O345,$P$3:$P$502,P345,$Q$3:$Q$502,"&gt;"&amp;Q345)=0,COUNTIFS($N$3:N345,N345,$O$3:O345,O345,$P$3:P345,P345,$Q$3:Q345,Q345)=1),1,0))</x:f>
      </x:c>
      <x:c r="S345" s="21" t="n">
        <x:f t="shared" si="7">IF(R345=1,Q345,0)</x:f>
        <x:v>0</x:v>
      </x:c>
      <x:c r="T345" s="15"/>
      <x:c r="U345" s="15"/>
      <x:c r="V345" s="15"/>
      <x:c r="W345" s="15"/>
      <x:c r="X345" s="15"/>
      <x:c r="Y345" s="15"/>
      <x:c r="Z345" s="14"/>
    </x:row>
    <x:row r="346" ht="14.399999618530273" customHeight="1">
      <x:c r="A346" s="14"/>
      <x:c r="B346" s="14"/>
      <x:c r="C346" s="14"/>
      <x:c r="D346" s="14"/>
      <x:c r="E346" s="14"/>
      <x:c r="F346" s="14"/>
      <x:c r="G346" s="14"/>
      <x:c r="H346" s="14"/>
      <x:c r="I346" s="14"/>
      <x:c r="J346" s="14"/>
      <x:c r="K346" s="14"/>
      <x:c r="L346" s="14"/>
      <x:c r="M346" s="14"/>
      <x:c r="N346" s="93" t="n">
        <x:f>'Registro de vuelos'!A347</x:f>
        <x:v>0</x:v>
      </x:c>
      <x:c r="O346" s="15" t="n">
        <x:f>'Registro de vuelos'!C347</x:f>
        <x:v>0</x:v>
      </x:c>
      <x:c r="P346" s="15" t="n">
        <x:f>'Registro de vuelos'!E347</x:f>
        <x:v>0</x:v>
      </x:c>
      <x:c r="Q346" s="21" t="n">
        <x:f>'Registro de vuelos'!F347</x:f>
        <x:v>0</x:v>
      </x:c>
      <x:c r="R346" s="21" t="str">
        <x:f>IF(N346="","",IF(AND(COUNTIFS($N$3:$N$502,N346,$O$3:$O$502,O346,$P$3:$P$502,P346,$Q$3:$Q$502,"&gt;"&amp;Q346)=0,COUNTIFS($N$3:N346,N346,$O$3:O346,O346,$P$3:P346,P346,$Q$3:Q346,Q346)=1),1,0))</x:f>
      </x:c>
      <x:c r="S346" s="21" t="n">
        <x:f t="shared" si="7">IF(R346=1,Q346,0)</x:f>
        <x:v>0</x:v>
      </x:c>
      <x:c r="T346" s="15"/>
      <x:c r="U346" s="15"/>
      <x:c r="V346" s="15"/>
      <x:c r="W346" s="15"/>
      <x:c r="X346" s="15"/>
      <x:c r="Y346" s="15"/>
      <x:c r="Z346" s="14"/>
    </x:row>
    <x:row r="347" ht="14.399999618530273" customHeight="1">
      <x:c r="A347" s="14"/>
      <x:c r="B347" s="14"/>
      <x:c r="C347" s="14"/>
      <x:c r="D347" s="14"/>
      <x:c r="E347" s="14"/>
      <x:c r="F347" s="14"/>
      <x:c r="G347" s="14"/>
      <x:c r="H347" s="14"/>
      <x:c r="I347" s="14"/>
      <x:c r="J347" s="14"/>
      <x:c r="K347" s="14"/>
      <x:c r="L347" s="14"/>
      <x:c r="M347" s="14"/>
      <x:c r="N347" s="93" t="n">
        <x:f>'Registro de vuelos'!A348</x:f>
        <x:v>0</x:v>
      </x:c>
      <x:c r="O347" s="15" t="n">
        <x:f>'Registro de vuelos'!C348</x:f>
        <x:v>0</x:v>
      </x:c>
      <x:c r="P347" s="15" t="n">
        <x:f>'Registro de vuelos'!E348</x:f>
        <x:v>0</x:v>
      </x:c>
      <x:c r="Q347" s="21" t="n">
        <x:f>'Registro de vuelos'!F348</x:f>
        <x:v>0</x:v>
      </x:c>
      <x:c r="R347" s="21" t="str">
        <x:f>IF(N347="","",IF(AND(COUNTIFS($N$3:$N$502,N347,$O$3:$O$502,O347,$P$3:$P$502,P347,$Q$3:$Q$502,"&gt;"&amp;Q347)=0,COUNTIFS($N$3:N347,N347,$O$3:O347,O347,$P$3:P347,P347,$Q$3:Q347,Q347)=1),1,0))</x:f>
      </x:c>
      <x:c r="S347" s="21" t="n">
        <x:f t="shared" si="7">IF(R347=1,Q347,0)</x:f>
        <x:v>0</x:v>
      </x:c>
      <x:c r="T347" s="15"/>
      <x:c r="U347" s="15"/>
      <x:c r="V347" s="15"/>
      <x:c r="W347" s="15"/>
      <x:c r="X347" s="15"/>
      <x:c r="Y347" s="15"/>
      <x:c r="Z347" s="14"/>
    </x:row>
    <x:row r="348" ht="14.399999618530273" customHeight="1">
      <x:c r="A348" s="14"/>
      <x:c r="B348" s="14"/>
      <x:c r="C348" s="14"/>
      <x:c r="D348" s="14"/>
      <x:c r="E348" s="14"/>
      <x:c r="F348" s="14"/>
      <x:c r="G348" s="14"/>
      <x:c r="H348" s="14"/>
      <x:c r="I348" s="14"/>
      <x:c r="J348" s="14"/>
      <x:c r="K348" s="14"/>
      <x:c r="L348" s="14"/>
      <x:c r="M348" s="14"/>
      <x:c r="N348" s="93" t="n">
        <x:f>'Registro de vuelos'!A349</x:f>
        <x:v>0</x:v>
      </x:c>
      <x:c r="O348" s="15" t="n">
        <x:f>'Registro de vuelos'!C349</x:f>
        <x:v>0</x:v>
      </x:c>
      <x:c r="P348" s="15" t="n">
        <x:f>'Registro de vuelos'!E349</x:f>
        <x:v>0</x:v>
      </x:c>
      <x:c r="Q348" s="21" t="n">
        <x:f>'Registro de vuelos'!F349</x:f>
        <x:v>0</x:v>
      </x:c>
      <x:c r="R348" s="21" t="str">
        <x:f>IF(N348="","",IF(AND(COUNTIFS($N$3:$N$502,N348,$O$3:$O$502,O348,$P$3:$P$502,P348,$Q$3:$Q$502,"&gt;"&amp;Q348)=0,COUNTIFS($N$3:N348,N348,$O$3:O348,O348,$P$3:P348,P348,$Q$3:Q348,Q348)=1),1,0))</x:f>
      </x:c>
      <x:c r="S348" s="21" t="n">
        <x:f t="shared" si="7">IF(R348=1,Q348,0)</x:f>
        <x:v>0</x:v>
      </x:c>
      <x:c r="T348" s="15"/>
      <x:c r="U348" s="15"/>
      <x:c r="V348" s="15"/>
      <x:c r="W348" s="15"/>
      <x:c r="X348" s="15"/>
      <x:c r="Y348" s="15"/>
      <x:c r="Z348" s="14"/>
    </x:row>
    <x:row r="349" ht="14.399999618530273" customHeight="1">
      <x:c r="A349" s="14"/>
      <x:c r="B349" s="14"/>
      <x:c r="C349" s="14"/>
      <x:c r="D349" s="14"/>
      <x:c r="E349" s="14"/>
      <x:c r="F349" s="14"/>
      <x:c r="G349" s="14"/>
      <x:c r="H349" s="14"/>
      <x:c r="I349" s="14"/>
      <x:c r="J349" s="14"/>
      <x:c r="K349" s="14"/>
      <x:c r="L349" s="14"/>
      <x:c r="M349" s="14"/>
      <x:c r="N349" s="93" t="n">
        <x:f>'Registro de vuelos'!A350</x:f>
        <x:v>0</x:v>
      </x:c>
      <x:c r="O349" s="15" t="n">
        <x:f>'Registro de vuelos'!C350</x:f>
        <x:v>0</x:v>
      </x:c>
      <x:c r="P349" s="15" t="n">
        <x:f>'Registro de vuelos'!E350</x:f>
        <x:v>0</x:v>
      </x:c>
      <x:c r="Q349" s="21" t="n">
        <x:f>'Registro de vuelos'!F350</x:f>
        <x:v>0</x:v>
      </x:c>
      <x:c r="R349" s="21" t="str">
        <x:f>IF(N349="","",IF(AND(COUNTIFS($N$3:$N$502,N349,$O$3:$O$502,O349,$P$3:$P$502,P349,$Q$3:$Q$502,"&gt;"&amp;Q349)=0,COUNTIFS($N$3:N349,N349,$O$3:O349,O349,$P$3:P349,P349,$Q$3:Q349,Q349)=1),1,0))</x:f>
      </x:c>
      <x:c r="S349" s="21" t="n">
        <x:f t="shared" si="7">IF(R349=1,Q349,0)</x:f>
        <x:v>0</x:v>
      </x:c>
      <x:c r="T349" s="15"/>
      <x:c r="U349" s="15"/>
      <x:c r="V349" s="15"/>
      <x:c r="W349" s="15"/>
      <x:c r="X349" s="15"/>
      <x:c r="Y349" s="15"/>
      <x:c r="Z349" s="14"/>
    </x:row>
    <x:row r="350" ht="14.399999618530273" customHeight="1">
      <x:c r="A350" s="14"/>
      <x:c r="B350" s="14"/>
      <x:c r="C350" s="14"/>
      <x:c r="D350" s="14"/>
      <x:c r="E350" s="14"/>
      <x:c r="F350" s="14"/>
      <x:c r="G350" s="14"/>
      <x:c r="H350" s="14"/>
      <x:c r="I350" s="14"/>
      <x:c r="J350" s="14"/>
      <x:c r="K350" s="14"/>
      <x:c r="L350" s="14"/>
      <x:c r="M350" s="14"/>
      <x:c r="N350" s="93" t="n">
        <x:f>'Registro de vuelos'!A351</x:f>
        <x:v>0</x:v>
      </x:c>
      <x:c r="O350" s="15" t="n">
        <x:f>'Registro de vuelos'!C351</x:f>
        <x:v>0</x:v>
      </x:c>
      <x:c r="P350" s="15" t="n">
        <x:f>'Registro de vuelos'!E351</x:f>
        <x:v>0</x:v>
      </x:c>
      <x:c r="Q350" s="21" t="n">
        <x:f>'Registro de vuelos'!F351</x:f>
        <x:v>0</x:v>
      </x:c>
      <x:c r="R350" s="21" t="str">
        <x:f>IF(N350="","",IF(AND(COUNTIFS($N$3:$N$502,N350,$O$3:$O$502,O350,$P$3:$P$502,P350,$Q$3:$Q$502,"&gt;"&amp;Q350)=0,COUNTIFS($N$3:N350,N350,$O$3:O350,O350,$P$3:P350,P350,$Q$3:Q350,Q350)=1),1,0))</x:f>
      </x:c>
      <x:c r="S350" s="21" t="n">
        <x:f t="shared" si="7">IF(R350=1,Q350,0)</x:f>
        <x:v>0</x:v>
      </x:c>
      <x:c r="T350" s="15"/>
      <x:c r="U350" s="15"/>
      <x:c r="V350" s="15"/>
      <x:c r="W350" s="15"/>
      <x:c r="X350" s="15"/>
      <x:c r="Y350" s="15"/>
      <x:c r="Z350" s="14"/>
    </x:row>
    <x:row r="351" ht="14.399999618530273" customHeight="1">
      <x:c r="A351" s="14"/>
      <x:c r="B351" s="14"/>
      <x:c r="C351" s="14"/>
      <x:c r="D351" s="14"/>
      <x:c r="E351" s="14"/>
      <x:c r="F351" s="14"/>
      <x:c r="G351" s="14"/>
      <x:c r="H351" s="14"/>
      <x:c r="I351" s="14"/>
      <x:c r="J351" s="14"/>
      <x:c r="K351" s="14"/>
      <x:c r="L351" s="14"/>
      <x:c r="M351" s="14"/>
      <x:c r="N351" s="93" t="n">
        <x:f>'Registro de vuelos'!A352</x:f>
        <x:v>0</x:v>
      </x:c>
      <x:c r="O351" s="15" t="n">
        <x:f>'Registro de vuelos'!C352</x:f>
        <x:v>0</x:v>
      </x:c>
      <x:c r="P351" s="15" t="n">
        <x:f>'Registro de vuelos'!E352</x:f>
        <x:v>0</x:v>
      </x:c>
      <x:c r="Q351" s="21" t="n">
        <x:f>'Registro de vuelos'!F352</x:f>
        <x:v>0</x:v>
      </x:c>
      <x:c r="R351" s="21" t="str">
        <x:f>IF(N351="","",IF(AND(COUNTIFS($N$3:$N$502,N351,$O$3:$O$502,O351,$P$3:$P$502,P351,$Q$3:$Q$502,"&gt;"&amp;Q351)=0,COUNTIFS($N$3:N351,N351,$O$3:O351,O351,$P$3:P351,P351,$Q$3:Q351,Q351)=1),1,0))</x:f>
      </x:c>
      <x:c r="S351" s="21" t="n">
        <x:f t="shared" si="7">IF(R351=1,Q351,0)</x:f>
        <x:v>0</x:v>
      </x:c>
      <x:c r="T351" s="15"/>
      <x:c r="U351" s="15"/>
      <x:c r="V351" s="15"/>
      <x:c r="W351" s="15"/>
      <x:c r="X351" s="15"/>
      <x:c r="Y351" s="15"/>
      <x:c r="Z351" s="14"/>
    </x:row>
    <x:row r="352" ht="14.399999618530273" customHeight="1">
      <x:c r="A352" s="14"/>
      <x:c r="B352" s="14"/>
      <x:c r="C352" s="14"/>
      <x:c r="D352" s="14"/>
      <x:c r="E352" s="14"/>
      <x:c r="F352" s="14"/>
      <x:c r="G352" s="14"/>
      <x:c r="H352" s="14"/>
      <x:c r="I352" s="14"/>
      <x:c r="J352" s="14"/>
      <x:c r="K352" s="14"/>
      <x:c r="L352" s="14"/>
      <x:c r="M352" s="14"/>
      <x:c r="N352" s="93" t="n">
        <x:f>'Registro de vuelos'!A353</x:f>
        <x:v>0</x:v>
      </x:c>
      <x:c r="O352" s="15" t="n">
        <x:f>'Registro de vuelos'!C353</x:f>
        <x:v>0</x:v>
      </x:c>
      <x:c r="P352" s="15" t="n">
        <x:f>'Registro de vuelos'!E353</x:f>
        <x:v>0</x:v>
      </x:c>
      <x:c r="Q352" s="21" t="n">
        <x:f>'Registro de vuelos'!F353</x:f>
        <x:v>0</x:v>
      </x:c>
      <x:c r="R352" s="21" t="str">
        <x:f>IF(N352="","",IF(AND(COUNTIFS($N$3:$N$502,N352,$O$3:$O$502,O352,$P$3:$P$502,P352,$Q$3:$Q$502,"&gt;"&amp;Q352)=0,COUNTIFS($N$3:N352,N352,$O$3:O352,O352,$P$3:P352,P352,$Q$3:Q352,Q352)=1),1,0))</x:f>
      </x:c>
      <x:c r="S352" s="21" t="n">
        <x:f t="shared" si="7">IF(R352=1,Q352,0)</x:f>
        <x:v>0</x:v>
      </x:c>
      <x:c r="T352" s="15"/>
      <x:c r="U352" s="15"/>
      <x:c r="V352" s="15"/>
      <x:c r="W352" s="15"/>
      <x:c r="X352" s="15"/>
      <x:c r="Y352" s="15"/>
      <x:c r="Z352" s="14"/>
    </x:row>
    <x:row r="353" ht="14.399999618530273" customHeight="1">
      <x:c r="A353" s="14"/>
      <x:c r="B353" s="14"/>
      <x:c r="C353" s="14"/>
      <x:c r="D353" s="14"/>
      <x:c r="E353" s="14"/>
      <x:c r="F353" s="14"/>
      <x:c r="G353" s="14"/>
      <x:c r="H353" s="14"/>
      <x:c r="I353" s="14"/>
      <x:c r="J353" s="14"/>
      <x:c r="K353" s="14"/>
      <x:c r="L353" s="14"/>
      <x:c r="M353" s="14"/>
      <x:c r="N353" s="93" t="n">
        <x:f>'Registro de vuelos'!A354</x:f>
        <x:v>0</x:v>
      </x:c>
      <x:c r="O353" s="15" t="n">
        <x:f>'Registro de vuelos'!C354</x:f>
        <x:v>0</x:v>
      </x:c>
      <x:c r="P353" s="15" t="n">
        <x:f>'Registro de vuelos'!E354</x:f>
        <x:v>0</x:v>
      </x:c>
      <x:c r="Q353" s="21" t="n">
        <x:f>'Registro de vuelos'!F354</x:f>
        <x:v>0</x:v>
      </x:c>
      <x:c r="R353" s="21" t="str">
        <x:f>IF(N353="","",IF(AND(COUNTIFS($N$3:$N$502,N353,$O$3:$O$502,O353,$P$3:$P$502,P353,$Q$3:$Q$502,"&gt;"&amp;Q353)=0,COUNTIFS($N$3:N353,N353,$O$3:O353,O353,$P$3:P353,P353,$Q$3:Q353,Q353)=1),1,0))</x:f>
      </x:c>
      <x:c r="S353" s="21" t="n">
        <x:f t="shared" si="7">IF(R353=1,Q353,0)</x:f>
        <x:v>0</x:v>
      </x:c>
      <x:c r="T353" s="15"/>
      <x:c r="U353" s="15"/>
      <x:c r="V353" s="15"/>
      <x:c r="W353" s="15"/>
      <x:c r="X353" s="15"/>
      <x:c r="Y353" s="15"/>
      <x:c r="Z353" s="14"/>
    </x:row>
    <x:row r="354" ht="14.399999618530273" customHeight="1">
      <x:c r="A354" s="14"/>
      <x:c r="B354" s="14"/>
      <x:c r="C354" s="14"/>
      <x:c r="D354" s="14"/>
      <x:c r="E354" s="14"/>
      <x:c r="F354" s="14"/>
      <x:c r="G354" s="14"/>
      <x:c r="H354" s="14"/>
      <x:c r="I354" s="14"/>
      <x:c r="J354" s="14"/>
      <x:c r="K354" s="14"/>
      <x:c r="L354" s="14"/>
      <x:c r="M354" s="14"/>
      <x:c r="N354" s="93" t="n">
        <x:f>'Registro de vuelos'!A355</x:f>
        <x:v>0</x:v>
      </x:c>
      <x:c r="O354" s="15" t="n">
        <x:f>'Registro de vuelos'!C355</x:f>
        <x:v>0</x:v>
      </x:c>
      <x:c r="P354" s="15" t="n">
        <x:f>'Registro de vuelos'!E355</x:f>
        <x:v>0</x:v>
      </x:c>
      <x:c r="Q354" s="21" t="n">
        <x:f>'Registro de vuelos'!F355</x:f>
        <x:v>0</x:v>
      </x:c>
      <x:c r="R354" s="21" t="str">
        <x:f>IF(N354="","",IF(AND(COUNTIFS($N$3:$N$502,N354,$O$3:$O$502,O354,$P$3:$P$502,P354,$Q$3:$Q$502,"&gt;"&amp;Q354)=0,COUNTIFS($N$3:N354,N354,$O$3:O354,O354,$P$3:P354,P354,$Q$3:Q354,Q354)=1),1,0))</x:f>
      </x:c>
      <x:c r="S354" s="21" t="n">
        <x:f t="shared" si="7">IF(R354=1,Q354,0)</x:f>
        <x:v>0</x:v>
      </x:c>
      <x:c r="T354" s="15"/>
      <x:c r="U354" s="15"/>
      <x:c r="V354" s="15"/>
      <x:c r="W354" s="15"/>
      <x:c r="X354" s="15"/>
      <x:c r="Y354" s="15"/>
      <x:c r="Z354" s="14"/>
    </x:row>
    <x:row r="355" ht="14.399999618530273" customHeight="1">
      <x:c r="A355" s="14"/>
      <x:c r="B355" s="14"/>
      <x:c r="C355" s="14"/>
      <x:c r="D355" s="14"/>
      <x:c r="E355" s="14"/>
      <x:c r="F355" s="14"/>
      <x:c r="G355" s="14"/>
      <x:c r="H355" s="14"/>
      <x:c r="I355" s="14"/>
      <x:c r="J355" s="14"/>
      <x:c r="K355" s="14"/>
      <x:c r="L355" s="14"/>
      <x:c r="M355" s="14"/>
      <x:c r="N355" s="93" t="n">
        <x:f>'Registro de vuelos'!A356</x:f>
        <x:v>0</x:v>
      </x:c>
      <x:c r="O355" s="15" t="n">
        <x:f>'Registro de vuelos'!C356</x:f>
        <x:v>0</x:v>
      </x:c>
      <x:c r="P355" s="15" t="n">
        <x:f>'Registro de vuelos'!E356</x:f>
        <x:v>0</x:v>
      </x:c>
      <x:c r="Q355" s="21" t="n">
        <x:f>'Registro de vuelos'!F356</x:f>
        <x:v>0</x:v>
      </x:c>
      <x:c r="R355" s="21" t="str">
        <x:f>IF(N355="","",IF(AND(COUNTIFS($N$3:$N$502,N355,$O$3:$O$502,O355,$P$3:$P$502,P355,$Q$3:$Q$502,"&gt;"&amp;Q355)=0,COUNTIFS($N$3:N355,N355,$O$3:O355,O355,$P$3:P355,P355,$Q$3:Q355,Q355)=1),1,0))</x:f>
      </x:c>
      <x:c r="S355" s="21" t="n">
        <x:f t="shared" si="7">IF(R355=1,Q355,0)</x:f>
        <x:v>0</x:v>
      </x:c>
      <x:c r="T355" s="15"/>
      <x:c r="U355" s="15"/>
      <x:c r="V355" s="15"/>
      <x:c r="W355" s="15"/>
      <x:c r="X355" s="15"/>
      <x:c r="Y355" s="15"/>
      <x:c r="Z355" s="14"/>
    </x:row>
    <x:row r="356" ht="14.399999618530273" customHeight="1">
      <x:c r="A356" s="14"/>
      <x:c r="B356" s="14"/>
      <x:c r="C356" s="14"/>
      <x:c r="D356" s="14"/>
      <x:c r="E356" s="14"/>
      <x:c r="F356" s="14"/>
      <x:c r="G356" s="14"/>
      <x:c r="H356" s="14"/>
      <x:c r="I356" s="14"/>
      <x:c r="J356" s="14"/>
      <x:c r="K356" s="14"/>
      <x:c r="L356" s="14"/>
      <x:c r="M356" s="14"/>
      <x:c r="N356" s="93" t="n">
        <x:f>'Registro de vuelos'!A357</x:f>
        <x:v>0</x:v>
      </x:c>
      <x:c r="O356" s="15" t="n">
        <x:f>'Registro de vuelos'!C357</x:f>
        <x:v>0</x:v>
      </x:c>
      <x:c r="P356" s="15" t="n">
        <x:f>'Registro de vuelos'!E357</x:f>
        <x:v>0</x:v>
      </x:c>
      <x:c r="Q356" s="21" t="n">
        <x:f>'Registro de vuelos'!F357</x:f>
        <x:v>0</x:v>
      </x:c>
      <x:c r="R356" s="21" t="str">
        <x:f>IF(N356="","",IF(AND(COUNTIFS($N$3:$N$502,N356,$O$3:$O$502,O356,$P$3:$P$502,P356,$Q$3:$Q$502,"&gt;"&amp;Q356)=0,COUNTIFS($N$3:N356,N356,$O$3:O356,O356,$P$3:P356,P356,$Q$3:Q356,Q356)=1),1,0))</x:f>
      </x:c>
      <x:c r="S356" s="21" t="n">
        <x:f t="shared" si="7">IF(R356=1,Q356,0)</x:f>
        <x:v>0</x:v>
      </x:c>
      <x:c r="T356" s="15"/>
      <x:c r="U356" s="15"/>
      <x:c r="V356" s="15"/>
      <x:c r="W356" s="15"/>
      <x:c r="X356" s="15"/>
      <x:c r="Y356" s="15"/>
      <x:c r="Z356" s="14"/>
    </x:row>
    <x:row r="357" ht="14.399999618530273" customHeight="1">
      <x:c r="A357" s="14"/>
      <x:c r="B357" s="14"/>
      <x:c r="C357" s="14"/>
      <x:c r="D357" s="14"/>
      <x:c r="E357" s="14"/>
      <x:c r="F357" s="14"/>
      <x:c r="G357" s="14"/>
      <x:c r="H357" s="14"/>
      <x:c r="I357" s="14"/>
      <x:c r="J357" s="14"/>
      <x:c r="K357" s="14"/>
      <x:c r="L357" s="14"/>
      <x:c r="M357" s="14"/>
      <x:c r="N357" s="93" t="n">
        <x:f>'Registro de vuelos'!A358</x:f>
        <x:v>0</x:v>
      </x:c>
      <x:c r="O357" s="15" t="n">
        <x:f>'Registro de vuelos'!C358</x:f>
        <x:v>0</x:v>
      </x:c>
      <x:c r="P357" s="15" t="n">
        <x:f>'Registro de vuelos'!E358</x:f>
        <x:v>0</x:v>
      </x:c>
      <x:c r="Q357" s="21" t="n">
        <x:f>'Registro de vuelos'!F358</x:f>
        <x:v>0</x:v>
      </x:c>
      <x:c r="R357" s="21" t="str">
        <x:f>IF(N357="","",IF(AND(COUNTIFS($N$3:$N$502,N357,$O$3:$O$502,O357,$P$3:$P$502,P357,$Q$3:$Q$502,"&gt;"&amp;Q357)=0,COUNTIFS($N$3:N357,N357,$O$3:O357,O357,$P$3:P357,P357,$Q$3:Q357,Q357)=1),1,0))</x:f>
      </x:c>
      <x:c r="S357" s="21" t="n">
        <x:f t="shared" si="7">IF(R357=1,Q357,0)</x:f>
        <x:v>0</x:v>
      </x:c>
      <x:c r="T357" s="15"/>
      <x:c r="U357" s="15"/>
      <x:c r="V357" s="15"/>
      <x:c r="W357" s="15"/>
      <x:c r="X357" s="15"/>
      <x:c r="Y357" s="15"/>
      <x:c r="Z357" s="14"/>
    </x:row>
    <x:row r="358" ht="14.399999618530273" customHeight="1">
      <x:c r="A358" s="14"/>
      <x:c r="B358" s="14"/>
      <x:c r="C358" s="14"/>
      <x:c r="D358" s="14"/>
      <x:c r="E358" s="14"/>
      <x:c r="F358" s="14"/>
      <x:c r="G358" s="14"/>
      <x:c r="H358" s="14"/>
      <x:c r="I358" s="14"/>
      <x:c r="J358" s="14"/>
      <x:c r="K358" s="14"/>
      <x:c r="L358" s="14"/>
      <x:c r="M358" s="14"/>
      <x:c r="N358" s="93" t="n">
        <x:f>'Registro de vuelos'!A359</x:f>
        <x:v>0</x:v>
      </x:c>
      <x:c r="O358" s="15" t="n">
        <x:f>'Registro de vuelos'!C359</x:f>
        <x:v>0</x:v>
      </x:c>
      <x:c r="P358" s="15" t="n">
        <x:f>'Registro de vuelos'!E359</x:f>
        <x:v>0</x:v>
      </x:c>
      <x:c r="Q358" s="21" t="n">
        <x:f>'Registro de vuelos'!F359</x:f>
        <x:v>0</x:v>
      </x:c>
      <x:c r="R358" s="21" t="str">
        <x:f>IF(N358="","",IF(AND(COUNTIFS($N$3:$N$502,N358,$O$3:$O$502,O358,$P$3:$P$502,P358,$Q$3:$Q$502,"&gt;"&amp;Q358)=0,COUNTIFS($N$3:N358,N358,$O$3:O358,O358,$P$3:P358,P358,$Q$3:Q358,Q358)=1),1,0))</x:f>
      </x:c>
      <x:c r="S358" s="21" t="n">
        <x:f t="shared" si="7">IF(R358=1,Q358,0)</x:f>
        <x:v>0</x:v>
      </x:c>
      <x:c r="T358" s="15"/>
      <x:c r="U358" s="15"/>
      <x:c r="V358" s="15"/>
      <x:c r="W358" s="15"/>
      <x:c r="X358" s="15"/>
      <x:c r="Y358" s="15"/>
      <x:c r="Z358" s="14"/>
    </x:row>
    <x:row r="359" ht="14.399999618530273" customHeight="1">
      <x:c r="A359" s="14"/>
      <x:c r="B359" s="14"/>
      <x:c r="C359" s="14"/>
      <x:c r="D359" s="14"/>
      <x:c r="E359" s="14"/>
      <x:c r="F359" s="14"/>
      <x:c r="G359" s="14"/>
      <x:c r="H359" s="14"/>
      <x:c r="I359" s="14"/>
      <x:c r="J359" s="14"/>
      <x:c r="K359" s="14"/>
      <x:c r="L359" s="14"/>
      <x:c r="M359" s="14"/>
      <x:c r="N359" s="93" t="n">
        <x:f>'Registro de vuelos'!A360</x:f>
        <x:v>0</x:v>
      </x:c>
      <x:c r="O359" s="15" t="n">
        <x:f>'Registro de vuelos'!C360</x:f>
        <x:v>0</x:v>
      </x:c>
      <x:c r="P359" s="15" t="n">
        <x:f>'Registro de vuelos'!E360</x:f>
        <x:v>0</x:v>
      </x:c>
      <x:c r="Q359" s="21" t="n">
        <x:f>'Registro de vuelos'!F360</x:f>
        <x:v>0</x:v>
      </x:c>
      <x:c r="R359" s="21" t="str">
        <x:f>IF(N359="","",IF(AND(COUNTIFS($N$3:$N$502,N359,$O$3:$O$502,O359,$P$3:$P$502,P359,$Q$3:$Q$502,"&gt;"&amp;Q359)=0,COUNTIFS($N$3:N359,N359,$O$3:O359,O359,$P$3:P359,P359,$Q$3:Q359,Q359)=1),1,0))</x:f>
      </x:c>
      <x:c r="S359" s="21" t="n">
        <x:f t="shared" si="7">IF(R359=1,Q359,0)</x:f>
        <x:v>0</x:v>
      </x:c>
      <x:c r="T359" s="15"/>
      <x:c r="U359" s="15"/>
      <x:c r="V359" s="15"/>
      <x:c r="W359" s="15"/>
      <x:c r="X359" s="15"/>
      <x:c r="Y359" s="15"/>
      <x:c r="Z359" s="14"/>
    </x:row>
    <x:row r="360" ht="14.399999618530273" customHeight="1">
      <x:c r="A360" s="14"/>
      <x:c r="B360" s="14"/>
      <x:c r="C360" s="14"/>
      <x:c r="D360" s="14"/>
      <x:c r="E360" s="14"/>
      <x:c r="F360" s="14"/>
      <x:c r="G360" s="14"/>
      <x:c r="H360" s="14"/>
      <x:c r="I360" s="14"/>
      <x:c r="J360" s="14"/>
      <x:c r="K360" s="14"/>
      <x:c r="L360" s="14"/>
      <x:c r="M360" s="14"/>
      <x:c r="N360" s="93" t="n">
        <x:f>'Registro de vuelos'!A361</x:f>
        <x:v>0</x:v>
      </x:c>
      <x:c r="O360" s="15" t="n">
        <x:f>'Registro de vuelos'!C361</x:f>
        <x:v>0</x:v>
      </x:c>
      <x:c r="P360" s="15" t="n">
        <x:f>'Registro de vuelos'!E361</x:f>
        <x:v>0</x:v>
      </x:c>
      <x:c r="Q360" s="21" t="n">
        <x:f>'Registro de vuelos'!F361</x:f>
        <x:v>0</x:v>
      </x:c>
      <x:c r="R360" s="21" t="str">
        <x:f>IF(N360="","",IF(AND(COUNTIFS($N$3:$N$502,N360,$O$3:$O$502,O360,$P$3:$P$502,P360,$Q$3:$Q$502,"&gt;"&amp;Q360)=0,COUNTIFS($N$3:N360,N360,$O$3:O360,O360,$P$3:P360,P360,$Q$3:Q360,Q360)=1),1,0))</x:f>
      </x:c>
      <x:c r="S360" s="21" t="n">
        <x:f t="shared" si="7">IF(R360=1,Q360,0)</x:f>
        <x:v>0</x:v>
      </x:c>
      <x:c r="T360" s="15"/>
      <x:c r="U360" s="15"/>
      <x:c r="V360" s="15"/>
      <x:c r="W360" s="15"/>
      <x:c r="X360" s="15"/>
      <x:c r="Y360" s="15"/>
      <x:c r="Z360" s="14"/>
    </x:row>
    <x:row r="361" ht="14.399999618530273" customHeight="1">
      <x:c r="A361" s="14"/>
      <x:c r="B361" s="14"/>
      <x:c r="C361" s="14"/>
      <x:c r="D361" s="14"/>
      <x:c r="E361" s="14"/>
      <x:c r="F361" s="14"/>
      <x:c r="G361" s="14"/>
      <x:c r="H361" s="14"/>
      <x:c r="I361" s="14"/>
      <x:c r="J361" s="14"/>
      <x:c r="K361" s="14"/>
      <x:c r="L361" s="14"/>
      <x:c r="M361" s="14"/>
      <x:c r="N361" s="93" t="n">
        <x:f>'Registro de vuelos'!A362</x:f>
        <x:v>0</x:v>
      </x:c>
      <x:c r="O361" s="15" t="n">
        <x:f>'Registro de vuelos'!C362</x:f>
        <x:v>0</x:v>
      </x:c>
      <x:c r="P361" s="15" t="n">
        <x:f>'Registro de vuelos'!E362</x:f>
        <x:v>0</x:v>
      </x:c>
      <x:c r="Q361" s="21" t="n">
        <x:f>'Registro de vuelos'!F362</x:f>
        <x:v>0</x:v>
      </x:c>
      <x:c r="R361" s="21" t="str">
        <x:f>IF(N361="","",IF(AND(COUNTIFS($N$3:$N$502,N361,$O$3:$O$502,O361,$P$3:$P$502,P361,$Q$3:$Q$502,"&gt;"&amp;Q361)=0,COUNTIFS($N$3:N361,N361,$O$3:O361,O361,$P$3:P361,P361,$Q$3:Q361,Q361)=1),1,0))</x:f>
      </x:c>
      <x:c r="S361" s="21" t="n">
        <x:f t="shared" si="7">IF(R361=1,Q361,0)</x:f>
        <x:v>0</x:v>
      </x:c>
      <x:c r="T361" s="15"/>
      <x:c r="U361" s="15"/>
      <x:c r="V361" s="15"/>
      <x:c r="W361" s="15"/>
      <x:c r="X361" s="15"/>
      <x:c r="Y361" s="15"/>
      <x:c r="Z361" s="14"/>
    </x:row>
    <x:row r="362" ht="14.399999618530273" customHeight="1">
      <x:c r="A362" s="14"/>
      <x:c r="B362" s="14"/>
      <x:c r="C362" s="14"/>
      <x:c r="D362" s="14"/>
      <x:c r="E362" s="14"/>
      <x:c r="F362" s="14"/>
      <x:c r="G362" s="14"/>
      <x:c r="H362" s="14"/>
      <x:c r="I362" s="14"/>
      <x:c r="J362" s="14"/>
      <x:c r="K362" s="14"/>
      <x:c r="L362" s="14"/>
      <x:c r="M362" s="14"/>
      <x:c r="N362" s="93" t="n">
        <x:f>'Registro de vuelos'!A363</x:f>
        <x:v>0</x:v>
      </x:c>
      <x:c r="O362" s="15" t="n">
        <x:f>'Registro de vuelos'!C363</x:f>
        <x:v>0</x:v>
      </x:c>
      <x:c r="P362" s="15" t="n">
        <x:f>'Registro de vuelos'!E363</x:f>
        <x:v>0</x:v>
      </x:c>
      <x:c r="Q362" s="21" t="n">
        <x:f>'Registro de vuelos'!F363</x:f>
        <x:v>0</x:v>
      </x:c>
      <x:c r="R362" s="21" t="str">
        <x:f>IF(N362="","",IF(AND(COUNTIFS($N$3:$N$502,N362,$O$3:$O$502,O362,$P$3:$P$502,P362,$Q$3:$Q$502,"&gt;"&amp;Q362)=0,COUNTIFS($N$3:N362,N362,$O$3:O362,O362,$P$3:P362,P362,$Q$3:Q362,Q362)=1),1,0))</x:f>
      </x:c>
      <x:c r="S362" s="21" t="n">
        <x:f t="shared" si="7">IF(R362=1,Q362,0)</x:f>
        <x:v>0</x:v>
      </x:c>
      <x:c r="T362" s="15"/>
      <x:c r="U362" s="15"/>
      <x:c r="V362" s="15"/>
      <x:c r="W362" s="15"/>
      <x:c r="X362" s="15"/>
      <x:c r="Y362" s="15"/>
      <x:c r="Z362" s="14"/>
    </x:row>
    <x:row r="363" ht="14.399999618530273" customHeight="1">
      <x:c r="A363" s="14"/>
      <x:c r="B363" s="14"/>
      <x:c r="C363" s="14"/>
      <x:c r="D363" s="14"/>
      <x:c r="E363" s="14"/>
      <x:c r="F363" s="14"/>
      <x:c r="G363" s="14"/>
      <x:c r="H363" s="14"/>
      <x:c r="I363" s="14"/>
      <x:c r="J363" s="14"/>
      <x:c r="K363" s="14"/>
      <x:c r="L363" s="14"/>
      <x:c r="M363" s="14"/>
      <x:c r="N363" s="93" t="n">
        <x:f>'Registro de vuelos'!A364</x:f>
        <x:v>0</x:v>
      </x:c>
      <x:c r="O363" s="15" t="n">
        <x:f>'Registro de vuelos'!C364</x:f>
        <x:v>0</x:v>
      </x:c>
      <x:c r="P363" s="15" t="n">
        <x:f>'Registro de vuelos'!E364</x:f>
        <x:v>0</x:v>
      </x:c>
      <x:c r="Q363" s="21" t="n">
        <x:f>'Registro de vuelos'!F364</x:f>
        <x:v>0</x:v>
      </x:c>
      <x:c r="R363" s="21" t="str">
        <x:f>IF(N363="","",IF(AND(COUNTIFS($N$3:$N$502,N363,$O$3:$O$502,O363,$P$3:$P$502,P363,$Q$3:$Q$502,"&gt;"&amp;Q363)=0,COUNTIFS($N$3:N363,N363,$O$3:O363,O363,$P$3:P363,P363,$Q$3:Q363,Q363)=1),1,0))</x:f>
      </x:c>
      <x:c r="S363" s="21" t="n">
        <x:f t="shared" si="7">IF(R363=1,Q363,0)</x:f>
        <x:v>0</x:v>
      </x:c>
      <x:c r="T363" s="15"/>
      <x:c r="U363" s="15"/>
      <x:c r="V363" s="15"/>
      <x:c r="W363" s="15"/>
      <x:c r="X363" s="15"/>
      <x:c r="Y363" s="15"/>
      <x:c r="Z363" s="14"/>
    </x:row>
    <x:row r="364" ht="14.399999618530273" customHeight="1">
      <x:c r="A364" s="14"/>
      <x:c r="B364" s="14"/>
      <x:c r="C364" s="14"/>
      <x:c r="D364" s="14"/>
      <x:c r="E364" s="14"/>
      <x:c r="F364" s="14"/>
      <x:c r="G364" s="14"/>
      <x:c r="H364" s="14"/>
      <x:c r="I364" s="14"/>
      <x:c r="J364" s="14"/>
      <x:c r="K364" s="14"/>
      <x:c r="L364" s="14"/>
      <x:c r="M364" s="14"/>
      <x:c r="N364" s="93" t="n">
        <x:f>'Registro de vuelos'!A365</x:f>
        <x:v>0</x:v>
      </x:c>
      <x:c r="O364" s="15" t="n">
        <x:f>'Registro de vuelos'!C365</x:f>
        <x:v>0</x:v>
      </x:c>
      <x:c r="P364" s="15" t="n">
        <x:f>'Registro de vuelos'!E365</x:f>
        <x:v>0</x:v>
      </x:c>
      <x:c r="Q364" s="21" t="n">
        <x:f>'Registro de vuelos'!F365</x:f>
        <x:v>0</x:v>
      </x:c>
      <x:c r="R364" s="21" t="str">
        <x:f>IF(N364="","",IF(AND(COUNTIFS($N$3:$N$502,N364,$O$3:$O$502,O364,$P$3:$P$502,P364,$Q$3:$Q$502,"&gt;"&amp;Q364)=0,COUNTIFS($N$3:N364,N364,$O$3:O364,O364,$P$3:P364,P364,$Q$3:Q364,Q364)=1),1,0))</x:f>
      </x:c>
      <x:c r="S364" s="21" t="n">
        <x:f t="shared" si="7">IF(R364=1,Q364,0)</x:f>
        <x:v>0</x:v>
      </x:c>
      <x:c r="T364" s="15"/>
      <x:c r="U364" s="15"/>
      <x:c r="V364" s="15"/>
      <x:c r="W364" s="15"/>
      <x:c r="X364" s="15"/>
      <x:c r="Y364" s="15"/>
      <x:c r="Z364" s="14"/>
    </x:row>
    <x:row r="365" ht="14.399999618530273" customHeight="1">
      <x:c r="A365" s="14"/>
      <x:c r="B365" s="14"/>
      <x:c r="C365" s="14"/>
      <x:c r="D365" s="14"/>
      <x:c r="E365" s="14"/>
      <x:c r="F365" s="14"/>
      <x:c r="G365" s="14"/>
      <x:c r="H365" s="14"/>
      <x:c r="I365" s="14"/>
      <x:c r="J365" s="14"/>
      <x:c r="K365" s="14"/>
      <x:c r="L365" s="14"/>
      <x:c r="M365" s="14"/>
      <x:c r="N365" s="93" t="n">
        <x:f>'Registro de vuelos'!A366</x:f>
        <x:v>0</x:v>
      </x:c>
      <x:c r="O365" s="15" t="n">
        <x:f>'Registro de vuelos'!C366</x:f>
        <x:v>0</x:v>
      </x:c>
      <x:c r="P365" s="15" t="n">
        <x:f>'Registro de vuelos'!E366</x:f>
        <x:v>0</x:v>
      </x:c>
      <x:c r="Q365" s="21" t="n">
        <x:f>'Registro de vuelos'!F366</x:f>
        <x:v>0</x:v>
      </x:c>
      <x:c r="R365" s="21" t="str">
        <x:f>IF(N365="","",IF(AND(COUNTIFS($N$3:$N$502,N365,$O$3:$O$502,O365,$P$3:$P$502,P365,$Q$3:$Q$502,"&gt;"&amp;Q365)=0,COUNTIFS($N$3:N365,N365,$O$3:O365,O365,$P$3:P365,P365,$Q$3:Q365,Q365)=1),1,0))</x:f>
      </x:c>
      <x:c r="S365" s="21" t="n">
        <x:f t="shared" si="7">IF(R365=1,Q365,0)</x:f>
        <x:v>0</x:v>
      </x:c>
      <x:c r="T365" s="15"/>
      <x:c r="U365" s="15"/>
      <x:c r="V365" s="15"/>
      <x:c r="W365" s="15"/>
      <x:c r="X365" s="15"/>
      <x:c r="Y365" s="15"/>
      <x:c r="Z365" s="14"/>
    </x:row>
    <x:row r="366" ht="14.399999618530273" customHeight="1">
      <x:c r="A366" s="14"/>
      <x:c r="B366" s="14"/>
      <x:c r="C366" s="14"/>
      <x:c r="D366" s="14"/>
      <x:c r="E366" s="14"/>
      <x:c r="F366" s="14"/>
      <x:c r="G366" s="14"/>
      <x:c r="H366" s="14"/>
      <x:c r="I366" s="14"/>
      <x:c r="J366" s="14"/>
      <x:c r="K366" s="14"/>
      <x:c r="L366" s="14"/>
      <x:c r="M366" s="14"/>
      <x:c r="N366" s="93" t="n">
        <x:f>'Registro de vuelos'!A367</x:f>
        <x:v>0</x:v>
      </x:c>
      <x:c r="O366" s="15" t="n">
        <x:f>'Registro de vuelos'!C367</x:f>
        <x:v>0</x:v>
      </x:c>
      <x:c r="P366" s="15" t="n">
        <x:f>'Registro de vuelos'!E367</x:f>
        <x:v>0</x:v>
      </x:c>
      <x:c r="Q366" s="21" t="n">
        <x:f>'Registro de vuelos'!F367</x:f>
        <x:v>0</x:v>
      </x:c>
      <x:c r="R366" s="21" t="str">
        <x:f>IF(N366="","",IF(AND(COUNTIFS($N$3:$N$502,N366,$O$3:$O$502,O366,$P$3:$P$502,P366,$Q$3:$Q$502,"&gt;"&amp;Q366)=0,COUNTIFS($N$3:N366,N366,$O$3:O366,O366,$P$3:P366,P366,$Q$3:Q366,Q366)=1),1,0))</x:f>
      </x:c>
      <x:c r="S366" s="21" t="n">
        <x:f t="shared" si="7">IF(R366=1,Q366,0)</x:f>
        <x:v>0</x:v>
      </x:c>
      <x:c r="T366" s="15"/>
      <x:c r="U366" s="15"/>
      <x:c r="V366" s="15"/>
      <x:c r="W366" s="15"/>
      <x:c r="X366" s="15"/>
      <x:c r="Y366" s="15"/>
      <x:c r="Z366" s="14"/>
    </x:row>
    <x:row r="367" ht="14.399999618530273" customHeight="1">
      <x:c r="A367" s="14"/>
      <x:c r="B367" s="14"/>
      <x:c r="C367" s="14"/>
      <x:c r="D367" s="14"/>
      <x:c r="E367" s="14"/>
      <x:c r="F367" s="14"/>
      <x:c r="G367" s="14"/>
      <x:c r="H367" s="14"/>
      <x:c r="I367" s="14"/>
      <x:c r="J367" s="14"/>
      <x:c r="K367" s="14"/>
      <x:c r="L367" s="14"/>
      <x:c r="M367" s="14"/>
      <x:c r="N367" s="93" t="n">
        <x:f>'Registro de vuelos'!A368</x:f>
        <x:v>0</x:v>
      </x:c>
      <x:c r="O367" s="15" t="n">
        <x:f>'Registro de vuelos'!C368</x:f>
        <x:v>0</x:v>
      </x:c>
      <x:c r="P367" s="15" t="n">
        <x:f>'Registro de vuelos'!E368</x:f>
        <x:v>0</x:v>
      </x:c>
      <x:c r="Q367" s="21" t="n">
        <x:f>'Registro de vuelos'!F368</x:f>
        <x:v>0</x:v>
      </x:c>
      <x:c r="R367" s="21" t="str">
        <x:f>IF(N367="","",IF(AND(COUNTIFS($N$3:$N$502,N367,$O$3:$O$502,O367,$P$3:$P$502,P367,$Q$3:$Q$502,"&gt;"&amp;Q367)=0,COUNTIFS($N$3:N367,N367,$O$3:O367,O367,$P$3:P367,P367,$Q$3:Q367,Q367)=1),1,0))</x:f>
      </x:c>
      <x:c r="S367" s="21" t="n">
        <x:f t="shared" si="7">IF(R367=1,Q367,0)</x:f>
        <x:v>0</x:v>
      </x:c>
      <x:c r="T367" s="15"/>
      <x:c r="U367" s="15"/>
      <x:c r="V367" s="15"/>
      <x:c r="W367" s="15"/>
      <x:c r="X367" s="15"/>
      <x:c r="Y367" s="15"/>
      <x:c r="Z367" s="14"/>
    </x:row>
    <x:row r="368" ht="14.399999618530273" customHeight="1">
      <x:c r="A368" s="14"/>
      <x:c r="B368" s="14"/>
      <x:c r="C368" s="14"/>
      <x:c r="D368" s="14"/>
      <x:c r="E368" s="14"/>
      <x:c r="F368" s="14"/>
      <x:c r="G368" s="14"/>
      <x:c r="H368" s="14"/>
      <x:c r="I368" s="14"/>
      <x:c r="J368" s="14"/>
      <x:c r="K368" s="14"/>
      <x:c r="L368" s="14"/>
      <x:c r="M368" s="14"/>
      <x:c r="N368" s="93" t="n">
        <x:f>'Registro de vuelos'!A369</x:f>
        <x:v>0</x:v>
      </x:c>
      <x:c r="O368" s="15" t="n">
        <x:f>'Registro de vuelos'!C369</x:f>
        <x:v>0</x:v>
      </x:c>
      <x:c r="P368" s="15" t="n">
        <x:f>'Registro de vuelos'!E369</x:f>
        <x:v>0</x:v>
      </x:c>
      <x:c r="Q368" s="21" t="n">
        <x:f>'Registro de vuelos'!F369</x:f>
        <x:v>0</x:v>
      </x:c>
      <x:c r="R368" s="21" t="str">
        <x:f>IF(N368="","",IF(AND(COUNTIFS($N$3:$N$502,N368,$O$3:$O$502,O368,$P$3:$P$502,P368,$Q$3:$Q$502,"&gt;"&amp;Q368)=0,COUNTIFS($N$3:N368,N368,$O$3:O368,O368,$P$3:P368,P368,$Q$3:Q368,Q368)=1),1,0))</x:f>
      </x:c>
      <x:c r="S368" s="21" t="n">
        <x:f t="shared" si="7">IF(R368=1,Q368,0)</x:f>
        <x:v>0</x:v>
      </x:c>
      <x:c r="T368" s="15"/>
      <x:c r="U368" s="15"/>
      <x:c r="V368" s="15"/>
      <x:c r="W368" s="15"/>
      <x:c r="X368" s="15"/>
      <x:c r="Y368" s="15"/>
      <x:c r="Z368" s="14"/>
    </x:row>
    <x:row r="369" ht="14.399999618530273" customHeight="1">
      <x:c r="A369" s="14"/>
      <x:c r="B369" s="14"/>
      <x:c r="C369" s="14"/>
      <x:c r="D369" s="14"/>
      <x:c r="E369" s="14"/>
      <x:c r="F369" s="14"/>
      <x:c r="G369" s="14"/>
      <x:c r="H369" s="14"/>
      <x:c r="I369" s="14"/>
      <x:c r="J369" s="14"/>
      <x:c r="K369" s="14"/>
      <x:c r="L369" s="14"/>
      <x:c r="M369" s="14"/>
      <x:c r="N369" s="93" t="n">
        <x:f>'Registro de vuelos'!A370</x:f>
        <x:v>0</x:v>
      </x:c>
      <x:c r="O369" s="15" t="n">
        <x:f>'Registro de vuelos'!C370</x:f>
        <x:v>0</x:v>
      </x:c>
      <x:c r="P369" s="15" t="n">
        <x:f>'Registro de vuelos'!E370</x:f>
        <x:v>0</x:v>
      </x:c>
      <x:c r="Q369" s="21" t="n">
        <x:f>'Registro de vuelos'!F370</x:f>
        <x:v>0</x:v>
      </x:c>
      <x:c r="R369" s="21" t="str">
        <x:f>IF(N369="","",IF(AND(COUNTIFS($N$3:$N$502,N369,$O$3:$O$502,O369,$P$3:$P$502,P369,$Q$3:$Q$502,"&gt;"&amp;Q369)=0,COUNTIFS($N$3:N369,N369,$O$3:O369,O369,$P$3:P369,P369,$Q$3:Q369,Q369)=1),1,0))</x:f>
      </x:c>
      <x:c r="S369" s="21" t="n">
        <x:f t="shared" si="7">IF(R369=1,Q369,0)</x:f>
        <x:v>0</x:v>
      </x:c>
      <x:c r="T369" s="15"/>
      <x:c r="U369" s="15"/>
      <x:c r="V369" s="15"/>
      <x:c r="W369" s="15"/>
      <x:c r="X369" s="15"/>
      <x:c r="Y369" s="15"/>
      <x:c r="Z369" s="14"/>
    </x:row>
    <x:row r="370" ht="14.399999618530273" customHeight="1">
      <x:c r="A370" s="14"/>
      <x:c r="B370" s="14"/>
      <x:c r="C370" s="14"/>
      <x:c r="D370" s="14"/>
      <x:c r="E370" s="14"/>
      <x:c r="F370" s="14"/>
      <x:c r="G370" s="14"/>
      <x:c r="H370" s="14"/>
      <x:c r="I370" s="14"/>
      <x:c r="J370" s="14"/>
      <x:c r="K370" s="14"/>
      <x:c r="L370" s="14"/>
      <x:c r="M370" s="14"/>
      <x:c r="N370" s="93" t="n">
        <x:f>'Registro de vuelos'!A371</x:f>
        <x:v>0</x:v>
      </x:c>
      <x:c r="O370" s="15" t="n">
        <x:f>'Registro de vuelos'!C371</x:f>
        <x:v>0</x:v>
      </x:c>
      <x:c r="P370" s="15" t="n">
        <x:f>'Registro de vuelos'!E371</x:f>
        <x:v>0</x:v>
      </x:c>
      <x:c r="Q370" s="21" t="n">
        <x:f>'Registro de vuelos'!F371</x:f>
        <x:v>0</x:v>
      </x:c>
      <x:c r="R370" s="21" t="str">
        <x:f>IF(N370="","",IF(AND(COUNTIFS($N$3:$N$502,N370,$O$3:$O$502,O370,$P$3:$P$502,P370,$Q$3:$Q$502,"&gt;"&amp;Q370)=0,COUNTIFS($N$3:N370,N370,$O$3:O370,O370,$P$3:P370,P370,$Q$3:Q370,Q370)=1),1,0))</x:f>
      </x:c>
      <x:c r="S370" s="21" t="n">
        <x:f t="shared" si="7">IF(R370=1,Q370,0)</x:f>
        <x:v>0</x:v>
      </x:c>
      <x:c r="T370" s="15"/>
      <x:c r="U370" s="15"/>
      <x:c r="V370" s="15"/>
      <x:c r="W370" s="15"/>
      <x:c r="X370" s="15"/>
      <x:c r="Y370" s="15"/>
      <x:c r="Z370" s="14"/>
    </x:row>
    <x:row r="371" ht="14.399999618530273" customHeight="1">
      <x:c r="A371" s="14"/>
      <x:c r="B371" s="14"/>
      <x:c r="C371" s="14"/>
      <x:c r="D371" s="14"/>
      <x:c r="E371" s="14"/>
      <x:c r="F371" s="14"/>
      <x:c r="G371" s="14"/>
      <x:c r="H371" s="14"/>
      <x:c r="I371" s="14"/>
      <x:c r="J371" s="14"/>
      <x:c r="K371" s="14"/>
      <x:c r="L371" s="14"/>
      <x:c r="M371" s="14"/>
      <x:c r="N371" s="93" t="n">
        <x:f>'Registro de vuelos'!A372</x:f>
        <x:v>0</x:v>
      </x:c>
      <x:c r="O371" s="15" t="n">
        <x:f>'Registro de vuelos'!C372</x:f>
        <x:v>0</x:v>
      </x:c>
      <x:c r="P371" s="15" t="n">
        <x:f>'Registro de vuelos'!E372</x:f>
        <x:v>0</x:v>
      </x:c>
      <x:c r="Q371" s="21" t="n">
        <x:f>'Registro de vuelos'!F372</x:f>
        <x:v>0</x:v>
      </x:c>
      <x:c r="R371" s="21" t="str">
        <x:f>IF(N371="","",IF(AND(COUNTIFS($N$3:$N$502,N371,$O$3:$O$502,O371,$P$3:$P$502,P371,$Q$3:$Q$502,"&gt;"&amp;Q371)=0,COUNTIFS($N$3:N371,N371,$O$3:O371,O371,$P$3:P371,P371,$Q$3:Q371,Q371)=1),1,0))</x:f>
      </x:c>
      <x:c r="S371" s="21" t="n">
        <x:f t="shared" si="7">IF(R371=1,Q371,0)</x:f>
        <x:v>0</x:v>
      </x:c>
      <x:c r="T371" s="15"/>
      <x:c r="U371" s="15"/>
      <x:c r="V371" s="15"/>
      <x:c r="W371" s="15"/>
      <x:c r="X371" s="15"/>
      <x:c r="Y371" s="15"/>
      <x:c r="Z371" s="14"/>
    </x:row>
    <x:row r="372" ht="14.399999618530273" customHeight="1">
      <x:c r="A372" s="14"/>
      <x:c r="B372" s="14"/>
      <x:c r="C372" s="14"/>
      <x:c r="D372" s="14"/>
      <x:c r="E372" s="14"/>
      <x:c r="F372" s="14"/>
      <x:c r="G372" s="14"/>
      <x:c r="H372" s="14"/>
      <x:c r="I372" s="14"/>
      <x:c r="J372" s="14"/>
      <x:c r="K372" s="14"/>
      <x:c r="L372" s="14"/>
      <x:c r="M372" s="14"/>
      <x:c r="N372" s="93" t="n">
        <x:f>'Registro de vuelos'!A373</x:f>
        <x:v>0</x:v>
      </x:c>
      <x:c r="O372" s="15" t="n">
        <x:f>'Registro de vuelos'!C373</x:f>
        <x:v>0</x:v>
      </x:c>
      <x:c r="P372" s="15" t="n">
        <x:f>'Registro de vuelos'!E373</x:f>
        <x:v>0</x:v>
      </x:c>
      <x:c r="Q372" s="21" t="n">
        <x:f>'Registro de vuelos'!F373</x:f>
        <x:v>0</x:v>
      </x:c>
      <x:c r="R372" s="21" t="str">
        <x:f>IF(N372="","",IF(AND(COUNTIFS($N$3:$N$502,N372,$O$3:$O$502,O372,$P$3:$P$502,P372,$Q$3:$Q$502,"&gt;"&amp;Q372)=0,COUNTIFS($N$3:N372,N372,$O$3:O372,O372,$P$3:P372,P372,$Q$3:Q372,Q372)=1),1,0))</x:f>
      </x:c>
      <x:c r="S372" s="21" t="n">
        <x:f t="shared" si="7">IF(R372=1,Q372,0)</x:f>
        <x:v>0</x:v>
      </x:c>
      <x:c r="T372" s="15"/>
      <x:c r="U372" s="15"/>
      <x:c r="V372" s="15"/>
      <x:c r="W372" s="15"/>
      <x:c r="X372" s="15"/>
      <x:c r="Y372" s="15"/>
      <x:c r="Z372" s="14"/>
    </x:row>
    <x:row r="373" ht="14.399999618530273" customHeight="1">
      <x:c r="A373" s="14"/>
      <x:c r="B373" s="14"/>
      <x:c r="C373" s="14"/>
      <x:c r="D373" s="14"/>
      <x:c r="E373" s="14"/>
      <x:c r="F373" s="14"/>
      <x:c r="G373" s="14"/>
      <x:c r="H373" s="14"/>
      <x:c r="I373" s="14"/>
      <x:c r="J373" s="14"/>
      <x:c r="K373" s="14"/>
      <x:c r="L373" s="14"/>
      <x:c r="M373" s="14"/>
      <x:c r="N373" s="93" t="n">
        <x:f>'Registro de vuelos'!A374</x:f>
        <x:v>0</x:v>
      </x:c>
      <x:c r="O373" s="15" t="n">
        <x:f>'Registro de vuelos'!C374</x:f>
        <x:v>0</x:v>
      </x:c>
      <x:c r="P373" s="15" t="n">
        <x:f>'Registro de vuelos'!E374</x:f>
        <x:v>0</x:v>
      </x:c>
      <x:c r="Q373" s="21" t="n">
        <x:f>'Registro de vuelos'!F374</x:f>
        <x:v>0</x:v>
      </x:c>
      <x:c r="R373" s="21" t="str">
        <x:f>IF(N373="","",IF(AND(COUNTIFS($N$3:$N$502,N373,$O$3:$O$502,O373,$P$3:$P$502,P373,$Q$3:$Q$502,"&gt;"&amp;Q373)=0,COUNTIFS($N$3:N373,N373,$O$3:O373,O373,$P$3:P373,P373,$Q$3:Q373,Q373)=1),1,0))</x:f>
      </x:c>
      <x:c r="S373" s="21" t="n">
        <x:f t="shared" si="7">IF(R373=1,Q373,0)</x:f>
        <x:v>0</x:v>
      </x:c>
      <x:c r="T373" s="15"/>
      <x:c r="U373" s="15"/>
      <x:c r="V373" s="15"/>
      <x:c r="W373" s="15"/>
      <x:c r="X373" s="15"/>
      <x:c r="Y373" s="15"/>
      <x:c r="Z373" s="14"/>
    </x:row>
    <x:row r="374" ht="14.399999618530273" customHeight="1">
      <x:c r="A374" s="14"/>
      <x:c r="B374" s="14"/>
      <x:c r="C374" s="14"/>
      <x:c r="D374" s="14"/>
      <x:c r="E374" s="14"/>
      <x:c r="F374" s="14"/>
      <x:c r="G374" s="14"/>
      <x:c r="H374" s="14"/>
      <x:c r="I374" s="14"/>
      <x:c r="J374" s="14"/>
      <x:c r="K374" s="14"/>
      <x:c r="L374" s="14"/>
      <x:c r="M374" s="14"/>
      <x:c r="N374" s="93" t="n">
        <x:f>'Registro de vuelos'!A375</x:f>
        <x:v>0</x:v>
      </x:c>
      <x:c r="O374" s="15" t="n">
        <x:f>'Registro de vuelos'!C375</x:f>
        <x:v>0</x:v>
      </x:c>
      <x:c r="P374" s="15" t="n">
        <x:f>'Registro de vuelos'!E375</x:f>
        <x:v>0</x:v>
      </x:c>
      <x:c r="Q374" s="21" t="n">
        <x:f>'Registro de vuelos'!F375</x:f>
        <x:v>0</x:v>
      </x:c>
      <x:c r="R374" s="21" t="str">
        <x:f>IF(N374="","",IF(AND(COUNTIFS($N$3:$N$502,N374,$O$3:$O$502,O374,$P$3:$P$502,P374,$Q$3:$Q$502,"&gt;"&amp;Q374)=0,COUNTIFS($N$3:N374,N374,$O$3:O374,O374,$P$3:P374,P374,$Q$3:Q374,Q374)=1),1,0))</x:f>
      </x:c>
      <x:c r="S374" s="21" t="n">
        <x:f t="shared" si="7">IF(R374=1,Q374,0)</x:f>
        <x:v>0</x:v>
      </x:c>
      <x:c r="T374" s="15"/>
      <x:c r="U374" s="15"/>
      <x:c r="V374" s="15"/>
      <x:c r="W374" s="15"/>
      <x:c r="X374" s="15"/>
      <x:c r="Y374" s="15"/>
      <x:c r="Z374" s="14"/>
    </x:row>
    <x:row r="375" ht="14.399999618530273" customHeight="1">
      <x:c r="A375" s="14"/>
      <x:c r="B375" s="14"/>
      <x:c r="C375" s="14"/>
      <x:c r="D375" s="14"/>
      <x:c r="E375" s="14"/>
      <x:c r="F375" s="14"/>
      <x:c r="G375" s="14"/>
      <x:c r="H375" s="14"/>
      <x:c r="I375" s="14"/>
      <x:c r="J375" s="14"/>
      <x:c r="K375" s="14"/>
      <x:c r="L375" s="14"/>
      <x:c r="M375" s="14"/>
      <x:c r="N375" s="93" t="n">
        <x:f>'Registro de vuelos'!A376</x:f>
        <x:v>0</x:v>
      </x:c>
      <x:c r="O375" s="15" t="n">
        <x:f>'Registro de vuelos'!C376</x:f>
        <x:v>0</x:v>
      </x:c>
      <x:c r="P375" s="15" t="n">
        <x:f>'Registro de vuelos'!E376</x:f>
        <x:v>0</x:v>
      </x:c>
      <x:c r="Q375" s="21" t="n">
        <x:f>'Registro de vuelos'!F376</x:f>
        <x:v>0</x:v>
      </x:c>
      <x:c r="R375" s="21" t="str">
        <x:f>IF(N375="","",IF(AND(COUNTIFS($N$3:$N$502,N375,$O$3:$O$502,O375,$P$3:$P$502,P375,$Q$3:$Q$502,"&gt;"&amp;Q375)=0,COUNTIFS($N$3:N375,N375,$O$3:O375,O375,$P$3:P375,P375,$Q$3:Q375,Q375)=1),1,0))</x:f>
      </x:c>
      <x:c r="S375" s="21" t="n">
        <x:f t="shared" si="7">IF(R375=1,Q375,0)</x:f>
        <x:v>0</x:v>
      </x:c>
      <x:c r="T375" s="15"/>
      <x:c r="U375" s="15"/>
      <x:c r="V375" s="15"/>
      <x:c r="W375" s="15"/>
      <x:c r="X375" s="15"/>
      <x:c r="Y375" s="15"/>
      <x:c r="Z375" s="14"/>
    </x:row>
    <x:row r="376" ht="14.399999618530273" customHeight="1">
      <x:c r="A376" s="14"/>
      <x:c r="B376" s="14"/>
      <x:c r="C376" s="14"/>
      <x:c r="D376" s="14"/>
      <x:c r="E376" s="14"/>
      <x:c r="F376" s="14"/>
      <x:c r="G376" s="14"/>
      <x:c r="H376" s="14"/>
      <x:c r="I376" s="14"/>
      <x:c r="J376" s="14"/>
      <x:c r="K376" s="14"/>
      <x:c r="L376" s="14"/>
      <x:c r="M376" s="14"/>
      <x:c r="N376" s="93" t="n">
        <x:f>'Registro de vuelos'!A377</x:f>
        <x:v>0</x:v>
      </x:c>
      <x:c r="O376" s="15" t="n">
        <x:f>'Registro de vuelos'!C377</x:f>
        <x:v>0</x:v>
      </x:c>
      <x:c r="P376" s="15" t="n">
        <x:f>'Registro de vuelos'!E377</x:f>
        <x:v>0</x:v>
      </x:c>
      <x:c r="Q376" s="21" t="n">
        <x:f>'Registro de vuelos'!F377</x:f>
        <x:v>0</x:v>
      </x:c>
      <x:c r="R376" s="21" t="str">
        <x:f>IF(N376="","",IF(AND(COUNTIFS($N$3:$N$502,N376,$O$3:$O$502,O376,$P$3:$P$502,P376,$Q$3:$Q$502,"&gt;"&amp;Q376)=0,COUNTIFS($N$3:N376,N376,$O$3:O376,O376,$P$3:P376,P376,$Q$3:Q376,Q376)=1),1,0))</x:f>
      </x:c>
      <x:c r="S376" s="21" t="n">
        <x:f t="shared" si="7">IF(R376=1,Q376,0)</x:f>
        <x:v>0</x:v>
      </x:c>
      <x:c r="T376" s="15"/>
      <x:c r="U376" s="15"/>
      <x:c r="V376" s="15"/>
      <x:c r="W376" s="15"/>
      <x:c r="X376" s="15"/>
      <x:c r="Y376" s="15"/>
      <x:c r="Z376" s="14"/>
    </x:row>
    <x:row r="377" ht="14.399999618530273" customHeight="1">
      <x:c r="A377" s="14"/>
      <x:c r="B377" s="14"/>
      <x:c r="C377" s="14"/>
      <x:c r="D377" s="14"/>
      <x:c r="E377" s="14"/>
      <x:c r="F377" s="14"/>
      <x:c r="G377" s="14"/>
      <x:c r="H377" s="14"/>
      <x:c r="I377" s="14"/>
      <x:c r="J377" s="14"/>
      <x:c r="K377" s="14"/>
      <x:c r="L377" s="14"/>
      <x:c r="M377" s="14"/>
      <x:c r="N377" s="93" t="n">
        <x:f>'Registro de vuelos'!A378</x:f>
        <x:v>0</x:v>
      </x:c>
      <x:c r="O377" s="15" t="n">
        <x:f>'Registro de vuelos'!C378</x:f>
        <x:v>0</x:v>
      </x:c>
      <x:c r="P377" s="15" t="n">
        <x:f>'Registro de vuelos'!E378</x:f>
        <x:v>0</x:v>
      </x:c>
      <x:c r="Q377" s="21" t="n">
        <x:f>'Registro de vuelos'!F378</x:f>
        <x:v>0</x:v>
      </x:c>
      <x:c r="R377" s="21" t="str">
        <x:f>IF(N377="","",IF(AND(COUNTIFS($N$3:$N$502,N377,$O$3:$O$502,O377,$P$3:$P$502,P377,$Q$3:$Q$502,"&gt;"&amp;Q377)=0,COUNTIFS($N$3:N377,N377,$O$3:O377,O377,$P$3:P377,P377,$Q$3:Q377,Q377)=1),1,0))</x:f>
      </x:c>
      <x:c r="S377" s="21" t="n">
        <x:f t="shared" si="7">IF(R377=1,Q377,0)</x:f>
        <x:v>0</x:v>
      </x:c>
      <x:c r="T377" s="15"/>
      <x:c r="U377" s="15"/>
      <x:c r="V377" s="15"/>
      <x:c r="W377" s="15"/>
      <x:c r="X377" s="15"/>
      <x:c r="Y377" s="15"/>
      <x:c r="Z377" s="14"/>
    </x:row>
    <x:row r="378" ht="14.399999618530273" customHeight="1">
      <x:c r="A378" s="14"/>
      <x:c r="B378" s="14"/>
      <x:c r="C378" s="14"/>
      <x:c r="D378" s="14"/>
      <x:c r="E378" s="14"/>
      <x:c r="F378" s="14"/>
      <x:c r="G378" s="14"/>
      <x:c r="H378" s="14"/>
      <x:c r="I378" s="14"/>
      <x:c r="J378" s="14"/>
      <x:c r="K378" s="14"/>
      <x:c r="L378" s="14"/>
      <x:c r="M378" s="14"/>
      <x:c r="N378" s="93" t="n">
        <x:f>'Registro de vuelos'!A379</x:f>
        <x:v>0</x:v>
      </x:c>
      <x:c r="O378" s="15" t="n">
        <x:f>'Registro de vuelos'!C379</x:f>
        <x:v>0</x:v>
      </x:c>
      <x:c r="P378" s="15" t="n">
        <x:f>'Registro de vuelos'!E379</x:f>
        <x:v>0</x:v>
      </x:c>
      <x:c r="Q378" s="21" t="n">
        <x:f>'Registro de vuelos'!F379</x:f>
        <x:v>0</x:v>
      </x:c>
      <x:c r="R378" s="21" t="str">
        <x:f>IF(N378="","",IF(AND(COUNTIFS($N$3:$N$502,N378,$O$3:$O$502,O378,$P$3:$P$502,P378,$Q$3:$Q$502,"&gt;"&amp;Q378)=0,COUNTIFS($N$3:N378,N378,$O$3:O378,O378,$P$3:P378,P378,$Q$3:Q378,Q378)=1),1,0))</x:f>
      </x:c>
      <x:c r="S378" s="21" t="n">
        <x:f t="shared" si="7">IF(R378=1,Q378,0)</x:f>
        <x:v>0</x:v>
      </x:c>
      <x:c r="T378" s="15"/>
      <x:c r="U378" s="15"/>
      <x:c r="V378" s="15"/>
      <x:c r="W378" s="15"/>
      <x:c r="X378" s="15"/>
      <x:c r="Y378" s="15"/>
      <x:c r="Z378" s="14"/>
    </x:row>
    <x:row r="379" ht="14.399999618530273" customHeight="1">
      <x:c r="A379" s="14"/>
      <x:c r="B379" s="14"/>
      <x:c r="C379" s="14"/>
      <x:c r="D379" s="14"/>
      <x:c r="E379" s="14"/>
      <x:c r="F379" s="14"/>
      <x:c r="G379" s="14"/>
      <x:c r="H379" s="14"/>
      <x:c r="I379" s="14"/>
      <x:c r="J379" s="14"/>
      <x:c r="K379" s="14"/>
      <x:c r="L379" s="14"/>
      <x:c r="M379" s="14"/>
      <x:c r="N379" s="93" t="n">
        <x:f>'Registro de vuelos'!A380</x:f>
        <x:v>0</x:v>
      </x:c>
      <x:c r="O379" s="15" t="n">
        <x:f>'Registro de vuelos'!C380</x:f>
        <x:v>0</x:v>
      </x:c>
      <x:c r="P379" s="15" t="n">
        <x:f>'Registro de vuelos'!E380</x:f>
        <x:v>0</x:v>
      </x:c>
      <x:c r="Q379" s="21" t="n">
        <x:f>'Registro de vuelos'!F380</x:f>
        <x:v>0</x:v>
      </x:c>
      <x:c r="R379" s="21" t="str">
        <x:f>IF(N379="","",IF(AND(COUNTIFS($N$3:$N$502,N379,$O$3:$O$502,O379,$P$3:$P$502,P379,$Q$3:$Q$502,"&gt;"&amp;Q379)=0,COUNTIFS($N$3:N379,N379,$O$3:O379,O379,$P$3:P379,P379,$Q$3:Q379,Q379)=1),1,0))</x:f>
      </x:c>
      <x:c r="S379" s="21" t="n">
        <x:f t="shared" si="7">IF(R379=1,Q379,0)</x:f>
        <x:v>0</x:v>
      </x:c>
      <x:c r="T379" s="15"/>
      <x:c r="U379" s="15"/>
      <x:c r="V379" s="15"/>
      <x:c r="W379" s="15"/>
      <x:c r="X379" s="15"/>
      <x:c r="Y379" s="15"/>
      <x:c r="Z379" s="14"/>
    </x:row>
    <x:row r="380" ht="14.399999618530273" customHeight="1">
      <x:c r="A380" s="14"/>
      <x:c r="B380" s="14"/>
      <x:c r="C380" s="14"/>
      <x:c r="D380" s="14"/>
      <x:c r="E380" s="14"/>
      <x:c r="F380" s="14"/>
      <x:c r="G380" s="14"/>
      <x:c r="H380" s="14"/>
      <x:c r="I380" s="14"/>
      <x:c r="J380" s="14"/>
      <x:c r="K380" s="14"/>
      <x:c r="L380" s="14"/>
      <x:c r="M380" s="14"/>
      <x:c r="N380" s="93" t="n">
        <x:f>'Registro de vuelos'!A381</x:f>
        <x:v>0</x:v>
      </x:c>
      <x:c r="O380" s="15" t="n">
        <x:f>'Registro de vuelos'!C381</x:f>
        <x:v>0</x:v>
      </x:c>
      <x:c r="P380" s="15" t="n">
        <x:f>'Registro de vuelos'!E381</x:f>
        <x:v>0</x:v>
      </x:c>
      <x:c r="Q380" s="21" t="n">
        <x:f>'Registro de vuelos'!F381</x:f>
        <x:v>0</x:v>
      </x:c>
      <x:c r="R380" s="21" t="str">
        <x:f>IF(N380="","",IF(AND(COUNTIFS($N$3:$N$502,N380,$O$3:$O$502,O380,$P$3:$P$502,P380,$Q$3:$Q$502,"&gt;"&amp;Q380)=0,COUNTIFS($N$3:N380,N380,$O$3:O380,O380,$P$3:P380,P380,$Q$3:Q380,Q380)=1),1,0))</x:f>
      </x:c>
      <x:c r="S380" s="21" t="n">
        <x:f t="shared" si="7">IF(R380=1,Q380,0)</x:f>
        <x:v>0</x:v>
      </x:c>
      <x:c r="T380" s="15"/>
      <x:c r="U380" s="15"/>
      <x:c r="V380" s="15"/>
      <x:c r="W380" s="15"/>
      <x:c r="X380" s="15"/>
      <x:c r="Y380" s="15"/>
      <x:c r="Z380" s="14"/>
    </x:row>
    <x:row r="381" ht="14.399999618530273" customHeight="1">
      <x:c r="A381" s="14"/>
      <x:c r="B381" s="14"/>
      <x:c r="C381" s="14"/>
      <x:c r="D381" s="14"/>
      <x:c r="E381" s="14"/>
      <x:c r="F381" s="14"/>
      <x:c r="G381" s="14"/>
      <x:c r="H381" s="14"/>
      <x:c r="I381" s="14"/>
      <x:c r="J381" s="14"/>
      <x:c r="K381" s="14"/>
      <x:c r="L381" s="14"/>
      <x:c r="M381" s="14"/>
      <x:c r="N381" s="93" t="n">
        <x:f>'Registro de vuelos'!A382</x:f>
        <x:v>0</x:v>
      </x:c>
      <x:c r="O381" s="15" t="n">
        <x:f>'Registro de vuelos'!C382</x:f>
        <x:v>0</x:v>
      </x:c>
      <x:c r="P381" s="15" t="n">
        <x:f>'Registro de vuelos'!E382</x:f>
        <x:v>0</x:v>
      </x:c>
      <x:c r="Q381" s="21" t="n">
        <x:f>'Registro de vuelos'!F382</x:f>
        <x:v>0</x:v>
      </x:c>
      <x:c r="R381" s="21" t="str">
        <x:f>IF(N381="","",IF(AND(COUNTIFS($N$3:$N$502,N381,$O$3:$O$502,O381,$P$3:$P$502,P381,$Q$3:$Q$502,"&gt;"&amp;Q381)=0,COUNTIFS($N$3:N381,N381,$O$3:O381,O381,$P$3:P381,P381,$Q$3:Q381,Q381)=1),1,0))</x:f>
      </x:c>
      <x:c r="S381" s="21" t="n">
        <x:f t="shared" si="7">IF(R381=1,Q381,0)</x:f>
        <x:v>0</x:v>
      </x:c>
      <x:c r="T381" s="15"/>
      <x:c r="U381" s="15"/>
      <x:c r="V381" s="15"/>
      <x:c r="W381" s="15"/>
      <x:c r="X381" s="15"/>
      <x:c r="Y381" s="15"/>
      <x:c r="Z381" s="14"/>
    </x:row>
    <x:row r="382" ht="14.399999618530273" customHeight="1">
      <x:c r="A382" s="14"/>
      <x:c r="B382" s="14"/>
      <x:c r="C382" s="14"/>
      <x:c r="D382" s="14"/>
      <x:c r="E382" s="14"/>
      <x:c r="F382" s="14"/>
      <x:c r="G382" s="14"/>
      <x:c r="H382" s="14"/>
      <x:c r="I382" s="14"/>
      <x:c r="J382" s="14"/>
      <x:c r="K382" s="14"/>
      <x:c r="L382" s="14"/>
      <x:c r="M382" s="14"/>
      <x:c r="N382" s="93" t="n">
        <x:f>'Registro de vuelos'!A383</x:f>
        <x:v>0</x:v>
      </x:c>
      <x:c r="O382" s="15" t="n">
        <x:f>'Registro de vuelos'!C383</x:f>
        <x:v>0</x:v>
      </x:c>
      <x:c r="P382" s="15" t="n">
        <x:f>'Registro de vuelos'!E383</x:f>
        <x:v>0</x:v>
      </x:c>
      <x:c r="Q382" s="21" t="n">
        <x:f>'Registro de vuelos'!F383</x:f>
        <x:v>0</x:v>
      </x:c>
      <x:c r="R382" s="21" t="str">
        <x:f>IF(N382="","",IF(AND(COUNTIFS($N$3:$N$502,N382,$O$3:$O$502,O382,$P$3:$P$502,P382,$Q$3:$Q$502,"&gt;"&amp;Q382)=0,COUNTIFS($N$3:N382,N382,$O$3:O382,O382,$P$3:P382,P382,$Q$3:Q382,Q382)=1),1,0))</x:f>
      </x:c>
      <x:c r="S382" s="21" t="n">
        <x:f t="shared" si="7">IF(R382=1,Q382,0)</x:f>
        <x:v>0</x:v>
      </x:c>
      <x:c r="T382" s="15"/>
      <x:c r="U382" s="15"/>
      <x:c r="V382" s="15"/>
      <x:c r="W382" s="15"/>
      <x:c r="X382" s="15"/>
      <x:c r="Y382" s="15"/>
      <x:c r="Z382" s="14"/>
    </x:row>
    <x:row r="383" ht="14.399999618530273" customHeight="1">
      <x:c r="A383" s="14"/>
      <x:c r="B383" s="14"/>
      <x:c r="C383" s="14"/>
      <x:c r="D383" s="14"/>
      <x:c r="E383" s="14"/>
      <x:c r="F383" s="14"/>
      <x:c r="G383" s="14"/>
      <x:c r="H383" s="14"/>
      <x:c r="I383" s="14"/>
      <x:c r="J383" s="14"/>
      <x:c r="K383" s="14"/>
      <x:c r="L383" s="14"/>
      <x:c r="M383" s="14"/>
      <x:c r="N383" s="93" t="n">
        <x:f>'Registro de vuelos'!A384</x:f>
        <x:v>0</x:v>
      </x:c>
      <x:c r="O383" s="15" t="n">
        <x:f>'Registro de vuelos'!C384</x:f>
        <x:v>0</x:v>
      </x:c>
      <x:c r="P383" s="15" t="n">
        <x:f>'Registro de vuelos'!E384</x:f>
        <x:v>0</x:v>
      </x:c>
      <x:c r="Q383" s="21" t="n">
        <x:f>'Registro de vuelos'!F384</x:f>
        <x:v>0</x:v>
      </x:c>
      <x:c r="R383" s="21" t="str">
        <x:f>IF(N383="","",IF(AND(COUNTIFS($N$3:$N$502,N383,$O$3:$O$502,O383,$P$3:$P$502,P383,$Q$3:$Q$502,"&gt;"&amp;Q383)=0,COUNTIFS($N$3:N383,N383,$O$3:O383,O383,$P$3:P383,P383,$Q$3:Q383,Q383)=1),1,0))</x:f>
      </x:c>
      <x:c r="S383" s="21" t="n">
        <x:f t="shared" si="7">IF(R383=1,Q383,0)</x:f>
        <x:v>0</x:v>
      </x:c>
      <x:c r="T383" s="15"/>
      <x:c r="U383" s="15"/>
      <x:c r="V383" s="15"/>
      <x:c r="W383" s="15"/>
      <x:c r="X383" s="15"/>
      <x:c r="Y383" s="15"/>
      <x:c r="Z383" s="14"/>
    </x:row>
    <x:row r="384" ht="14.399999618530273" customHeight="1">
      <x:c r="A384" s="14"/>
      <x:c r="B384" s="14"/>
      <x:c r="C384" s="14"/>
      <x:c r="D384" s="14"/>
      <x:c r="E384" s="14"/>
      <x:c r="F384" s="14"/>
      <x:c r="G384" s="14"/>
      <x:c r="H384" s="14"/>
      <x:c r="I384" s="14"/>
      <x:c r="J384" s="14"/>
      <x:c r="K384" s="14"/>
      <x:c r="L384" s="14"/>
      <x:c r="M384" s="14"/>
      <x:c r="N384" s="93" t="n">
        <x:f>'Registro de vuelos'!A385</x:f>
        <x:v>0</x:v>
      </x:c>
      <x:c r="O384" s="15" t="n">
        <x:f>'Registro de vuelos'!C385</x:f>
        <x:v>0</x:v>
      </x:c>
      <x:c r="P384" s="15" t="n">
        <x:f>'Registro de vuelos'!E385</x:f>
        <x:v>0</x:v>
      </x:c>
      <x:c r="Q384" s="21" t="n">
        <x:f>'Registro de vuelos'!F385</x:f>
        <x:v>0</x:v>
      </x:c>
      <x:c r="R384" s="21" t="str">
        <x:f>IF(N384="","",IF(AND(COUNTIFS($N$3:$N$502,N384,$O$3:$O$502,O384,$P$3:$P$502,P384,$Q$3:$Q$502,"&gt;"&amp;Q384)=0,COUNTIFS($N$3:N384,N384,$O$3:O384,O384,$P$3:P384,P384,$Q$3:Q384,Q384)=1),1,0))</x:f>
      </x:c>
      <x:c r="S384" s="21" t="n">
        <x:f t="shared" si="7">IF(R384=1,Q384,0)</x:f>
        <x:v>0</x:v>
      </x:c>
      <x:c r="T384" s="15"/>
      <x:c r="U384" s="15"/>
      <x:c r="V384" s="15"/>
      <x:c r="W384" s="15"/>
      <x:c r="X384" s="15"/>
      <x:c r="Y384" s="15"/>
      <x:c r="Z384" s="14"/>
    </x:row>
    <x:row r="385" ht="14.399999618530273" customHeight="1">
      <x:c r="A385" s="14"/>
      <x:c r="B385" s="14"/>
      <x:c r="C385" s="14"/>
      <x:c r="D385" s="14"/>
      <x:c r="E385" s="14"/>
      <x:c r="F385" s="14"/>
      <x:c r="G385" s="14"/>
      <x:c r="H385" s="14"/>
      <x:c r="I385" s="14"/>
      <x:c r="J385" s="14"/>
      <x:c r="K385" s="14"/>
      <x:c r="L385" s="14"/>
      <x:c r="M385" s="14"/>
      <x:c r="N385" s="93" t="n">
        <x:f>'Registro de vuelos'!A386</x:f>
        <x:v>0</x:v>
      </x:c>
      <x:c r="O385" s="15" t="n">
        <x:f>'Registro de vuelos'!C386</x:f>
        <x:v>0</x:v>
      </x:c>
      <x:c r="P385" s="15" t="n">
        <x:f>'Registro de vuelos'!E386</x:f>
        <x:v>0</x:v>
      </x:c>
      <x:c r="Q385" s="21" t="n">
        <x:f>'Registro de vuelos'!F386</x:f>
        <x:v>0</x:v>
      </x:c>
      <x:c r="R385" s="21" t="str">
        <x:f>IF(N385="","",IF(AND(COUNTIFS($N$3:$N$502,N385,$O$3:$O$502,O385,$P$3:$P$502,P385,$Q$3:$Q$502,"&gt;"&amp;Q385)=0,COUNTIFS($N$3:N385,N385,$O$3:O385,O385,$P$3:P385,P385,$Q$3:Q385,Q385)=1),1,0))</x:f>
      </x:c>
      <x:c r="S385" s="21" t="n">
        <x:f t="shared" si="7">IF(R385=1,Q385,0)</x:f>
        <x:v>0</x:v>
      </x:c>
      <x:c r="T385" s="15"/>
      <x:c r="U385" s="15"/>
      <x:c r="V385" s="15"/>
      <x:c r="W385" s="15"/>
      <x:c r="X385" s="15"/>
      <x:c r="Y385" s="15"/>
      <x:c r="Z385" s="14"/>
    </x:row>
    <x:row r="386" ht="14.399999618530273" customHeight="1">
      <x:c r="A386" s="14"/>
      <x:c r="B386" s="14"/>
      <x:c r="C386" s="14"/>
      <x:c r="D386" s="14"/>
      <x:c r="E386" s="14"/>
      <x:c r="F386" s="14"/>
      <x:c r="G386" s="14"/>
      <x:c r="H386" s="14"/>
      <x:c r="I386" s="14"/>
      <x:c r="J386" s="14"/>
      <x:c r="K386" s="14"/>
      <x:c r="L386" s="14"/>
      <x:c r="M386" s="14"/>
      <x:c r="N386" s="93" t="n">
        <x:f>'Registro de vuelos'!A387</x:f>
        <x:v>0</x:v>
      </x:c>
      <x:c r="O386" s="15" t="n">
        <x:f>'Registro de vuelos'!C387</x:f>
        <x:v>0</x:v>
      </x:c>
      <x:c r="P386" s="15" t="n">
        <x:f>'Registro de vuelos'!E387</x:f>
        <x:v>0</x:v>
      </x:c>
      <x:c r="Q386" s="21" t="n">
        <x:f>'Registro de vuelos'!F387</x:f>
        <x:v>0</x:v>
      </x:c>
      <x:c r="R386" s="21" t="str">
        <x:f>IF(N386="","",IF(AND(COUNTIFS($N$3:$N$502,N386,$O$3:$O$502,O386,$P$3:$P$502,P386,$Q$3:$Q$502,"&gt;"&amp;Q386)=0,COUNTIFS($N$3:N386,N386,$O$3:O386,O386,$P$3:P386,P386,$Q$3:Q386,Q386)=1),1,0))</x:f>
      </x:c>
      <x:c r="S386" s="21" t="n">
        <x:f t="shared" si="7">IF(R386=1,Q386,0)</x:f>
        <x:v>0</x:v>
      </x:c>
      <x:c r="T386" s="15"/>
      <x:c r="U386" s="15"/>
      <x:c r="V386" s="15"/>
      <x:c r="W386" s="15"/>
      <x:c r="X386" s="15"/>
      <x:c r="Y386" s="15"/>
      <x:c r="Z386" s="14"/>
    </x:row>
    <x:row r="387" ht="14.399999618530273" customHeight="1">
      <x:c r="A387" s="14"/>
      <x:c r="B387" s="14"/>
      <x:c r="C387" s="14"/>
      <x:c r="D387" s="14"/>
      <x:c r="E387" s="14"/>
      <x:c r="F387" s="14"/>
      <x:c r="G387" s="14"/>
      <x:c r="H387" s="14"/>
      <x:c r="I387" s="14"/>
      <x:c r="J387" s="14"/>
      <x:c r="K387" s="14"/>
      <x:c r="L387" s="14"/>
      <x:c r="M387" s="14"/>
      <x:c r="N387" s="93" t="n">
        <x:f>'Registro de vuelos'!A388</x:f>
        <x:v>0</x:v>
      </x:c>
      <x:c r="O387" s="15" t="n">
        <x:f>'Registro de vuelos'!C388</x:f>
        <x:v>0</x:v>
      </x:c>
      <x:c r="P387" s="15" t="n">
        <x:f>'Registro de vuelos'!E388</x:f>
        <x:v>0</x:v>
      </x:c>
      <x:c r="Q387" s="21" t="n">
        <x:f>'Registro de vuelos'!F388</x:f>
        <x:v>0</x:v>
      </x:c>
      <x:c r="R387" s="21" t="str">
        <x:f>IF(N387="","",IF(AND(COUNTIFS($N$3:$N$502,N387,$O$3:$O$502,O387,$P$3:$P$502,P387,$Q$3:$Q$502,"&gt;"&amp;Q387)=0,COUNTIFS($N$3:N387,N387,$O$3:O387,O387,$P$3:P387,P387,$Q$3:Q387,Q387)=1),1,0))</x:f>
      </x:c>
      <x:c r="S387" s="21" t="n">
        <x:f t="shared" ref="S387:S450" si="8">IF(R387=1,Q387,0)</x:f>
        <x:v>0</x:v>
      </x:c>
      <x:c r="T387" s="15"/>
      <x:c r="U387" s="15"/>
      <x:c r="V387" s="15"/>
      <x:c r="W387" s="15"/>
      <x:c r="X387" s="15"/>
      <x:c r="Y387" s="15"/>
      <x:c r="Z387" s="14"/>
    </x:row>
    <x:row r="388" ht="14.399999618530273" customHeight="1">
      <x:c r="A388" s="14"/>
      <x:c r="B388" s="14"/>
      <x:c r="C388" s="14"/>
      <x:c r="D388" s="14"/>
      <x:c r="E388" s="14"/>
      <x:c r="F388" s="14"/>
      <x:c r="G388" s="14"/>
      <x:c r="H388" s="14"/>
      <x:c r="I388" s="14"/>
      <x:c r="J388" s="14"/>
      <x:c r="K388" s="14"/>
      <x:c r="L388" s="14"/>
      <x:c r="M388" s="14"/>
      <x:c r="N388" s="93" t="n">
        <x:f>'Registro de vuelos'!A389</x:f>
        <x:v>0</x:v>
      </x:c>
      <x:c r="O388" s="15" t="n">
        <x:f>'Registro de vuelos'!C389</x:f>
        <x:v>0</x:v>
      </x:c>
      <x:c r="P388" s="15" t="n">
        <x:f>'Registro de vuelos'!E389</x:f>
        <x:v>0</x:v>
      </x:c>
      <x:c r="Q388" s="21" t="n">
        <x:f>'Registro de vuelos'!F389</x:f>
        <x:v>0</x:v>
      </x:c>
      <x:c r="R388" s="21" t="str">
        <x:f>IF(N388="","",IF(AND(COUNTIFS($N$3:$N$502,N388,$O$3:$O$502,O388,$P$3:$P$502,P388,$Q$3:$Q$502,"&gt;"&amp;Q388)=0,COUNTIFS($N$3:N388,N388,$O$3:O388,O388,$P$3:P388,P388,$Q$3:Q388,Q388)=1),1,0))</x:f>
      </x:c>
      <x:c r="S388" s="21" t="n">
        <x:f t="shared" si="8">IF(R388=1,Q388,0)</x:f>
        <x:v>0</x:v>
      </x:c>
      <x:c r="T388" s="15"/>
      <x:c r="U388" s="15"/>
      <x:c r="V388" s="15"/>
      <x:c r="W388" s="15"/>
      <x:c r="X388" s="15"/>
      <x:c r="Y388" s="15"/>
      <x:c r="Z388" s="14"/>
    </x:row>
    <x:row r="389" ht="14.399999618530273" customHeight="1">
      <x:c r="A389" s="14"/>
      <x:c r="B389" s="14"/>
      <x:c r="C389" s="14"/>
      <x:c r="D389" s="14"/>
      <x:c r="E389" s="14"/>
      <x:c r="F389" s="14"/>
      <x:c r="G389" s="14"/>
      <x:c r="H389" s="14"/>
      <x:c r="I389" s="14"/>
      <x:c r="J389" s="14"/>
      <x:c r="K389" s="14"/>
      <x:c r="L389" s="14"/>
      <x:c r="M389" s="14"/>
      <x:c r="N389" s="93" t="n">
        <x:f>'Registro de vuelos'!A390</x:f>
        <x:v>0</x:v>
      </x:c>
      <x:c r="O389" s="15" t="n">
        <x:f>'Registro de vuelos'!C390</x:f>
        <x:v>0</x:v>
      </x:c>
      <x:c r="P389" s="15" t="n">
        <x:f>'Registro de vuelos'!E390</x:f>
        <x:v>0</x:v>
      </x:c>
      <x:c r="Q389" s="21" t="n">
        <x:f>'Registro de vuelos'!F390</x:f>
        <x:v>0</x:v>
      </x:c>
      <x:c r="R389" s="21" t="str">
        <x:f>IF(N389="","",IF(AND(COUNTIFS($N$3:$N$502,N389,$O$3:$O$502,O389,$P$3:$P$502,P389,$Q$3:$Q$502,"&gt;"&amp;Q389)=0,COUNTIFS($N$3:N389,N389,$O$3:O389,O389,$P$3:P389,P389,$Q$3:Q389,Q389)=1),1,0))</x:f>
      </x:c>
      <x:c r="S389" s="21" t="n">
        <x:f t="shared" si="8">IF(R389=1,Q389,0)</x:f>
        <x:v>0</x:v>
      </x:c>
      <x:c r="T389" s="15"/>
      <x:c r="U389" s="15"/>
      <x:c r="V389" s="15"/>
      <x:c r="W389" s="15"/>
      <x:c r="X389" s="15"/>
      <x:c r="Y389" s="15"/>
      <x:c r="Z389" s="14"/>
    </x:row>
    <x:row r="390" ht="14.399999618530273" customHeight="1">
      <x:c r="A390" s="14"/>
      <x:c r="B390" s="14"/>
      <x:c r="C390" s="14"/>
      <x:c r="D390" s="14"/>
      <x:c r="E390" s="14"/>
      <x:c r="F390" s="14"/>
      <x:c r="G390" s="14"/>
      <x:c r="H390" s="14"/>
      <x:c r="I390" s="14"/>
      <x:c r="J390" s="14"/>
      <x:c r="K390" s="14"/>
      <x:c r="L390" s="14"/>
      <x:c r="M390" s="14"/>
      <x:c r="N390" s="93" t="n">
        <x:f>'Registro de vuelos'!A391</x:f>
        <x:v>0</x:v>
      </x:c>
      <x:c r="O390" s="15" t="n">
        <x:f>'Registro de vuelos'!C391</x:f>
        <x:v>0</x:v>
      </x:c>
      <x:c r="P390" s="15" t="n">
        <x:f>'Registro de vuelos'!E391</x:f>
        <x:v>0</x:v>
      </x:c>
      <x:c r="Q390" s="21" t="n">
        <x:f>'Registro de vuelos'!F391</x:f>
        <x:v>0</x:v>
      </x:c>
      <x:c r="R390" s="21" t="str">
        <x:f>IF(N390="","",IF(AND(COUNTIFS($N$3:$N$502,N390,$O$3:$O$502,O390,$P$3:$P$502,P390,$Q$3:$Q$502,"&gt;"&amp;Q390)=0,COUNTIFS($N$3:N390,N390,$O$3:O390,O390,$P$3:P390,P390,$Q$3:Q390,Q390)=1),1,0))</x:f>
      </x:c>
      <x:c r="S390" s="21" t="n">
        <x:f t="shared" si="8">IF(R390=1,Q390,0)</x:f>
        <x:v>0</x:v>
      </x:c>
      <x:c r="T390" s="15"/>
      <x:c r="U390" s="15"/>
      <x:c r="V390" s="15"/>
      <x:c r="W390" s="15"/>
      <x:c r="X390" s="15"/>
      <x:c r="Y390" s="15"/>
      <x:c r="Z390" s="14"/>
    </x:row>
    <x:row r="391" ht="14.399999618530273" customHeight="1">
      <x:c r="A391" s="14"/>
      <x:c r="B391" s="14"/>
      <x:c r="C391" s="14"/>
      <x:c r="D391" s="14"/>
      <x:c r="E391" s="14"/>
      <x:c r="F391" s="14"/>
      <x:c r="G391" s="14"/>
      <x:c r="H391" s="14"/>
      <x:c r="I391" s="14"/>
      <x:c r="J391" s="14"/>
      <x:c r="K391" s="14"/>
      <x:c r="L391" s="14"/>
      <x:c r="M391" s="14"/>
      <x:c r="N391" s="93" t="n">
        <x:f>'Registro de vuelos'!A392</x:f>
        <x:v>0</x:v>
      </x:c>
      <x:c r="O391" s="15" t="n">
        <x:f>'Registro de vuelos'!C392</x:f>
        <x:v>0</x:v>
      </x:c>
      <x:c r="P391" s="15" t="n">
        <x:f>'Registro de vuelos'!E392</x:f>
        <x:v>0</x:v>
      </x:c>
      <x:c r="Q391" s="21" t="n">
        <x:f>'Registro de vuelos'!F392</x:f>
        <x:v>0</x:v>
      </x:c>
      <x:c r="R391" s="21" t="str">
        <x:f>IF(N391="","",IF(AND(COUNTIFS($N$3:$N$502,N391,$O$3:$O$502,O391,$P$3:$P$502,P391,$Q$3:$Q$502,"&gt;"&amp;Q391)=0,COUNTIFS($N$3:N391,N391,$O$3:O391,O391,$P$3:P391,P391,$Q$3:Q391,Q391)=1),1,0))</x:f>
      </x:c>
      <x:c r="S391" s="21" t="n">
        <x:f t="shared" si="8">IF(R391=1,Q391,0)</x:f>
        <x:v>0</x:v>
      </x:c>
      <x:c r="T391" s="15"/>
      <x:c r="U391" s="15"/>
      <x:c r="V391" s="15"/>
      <x:c r="W391" s="15"/>
      <x:c r="X391" s="15"/>
      <x:c r="Y391" s="15"/>
      <x:c r="Z391" s="14"/>
    </x:row>
    <x:row r="392" ht="14.399999618530273" customHeight="1">
      <x:c r="A392" s="14"/>
      <x:c r="B392" s="14"/>
      <x:c r="C392" s="14"/>
      <x:c r="D392" s="14"/>
      <x:c r="E392" s="14"/>
      <x:c r="F392" s="14"/>
      <x:c r="G392" s="14"/>
      <x:c r="H392" s="14"/>
      <x:c r="I392" s="14"/>
      <x:c r="J392" s="14"/>
      <x:c r="K392" s="14"/>
      <x:c r="L392" s="14"/>
      <x:c r="M392" s="14"/>
      <x:c r="N392" s="93" t="n">
        <x:f>'Registro de vuelos'!A393</x:f>
        <x:v>0</x:v>
      </x:c>
      <x:c r="O392" s="15" t="n">
        <x:f>'Registro de vuelos'!C393</x:f>
        <x:v>0</x:v>
      </x:c>
      <x:c r="P392" s="15" t="n">
        <x:f>'Registro de vuelos'!E393</x:f>
        <x:v>0</x:v>
      </x:c>
      <x:c r="Q392" s="21" t="n">
        <x:f>'Registro de vuelos'!F393</x:f>
        <x:v>0</x:v>
      </x:c>
      <x:c r="R392" s="21" t="str">
        <x:f>IF(N392="","",IF(AND(COUNTIFS($N$3:$N$502,N392,$O$3:$O$502,O392,$P$3:$P$502,P392,$Q$3:$Q$502,"&gt;"&amp;Q392)=0,COUNTIFS($N$3:N392,N392,$O$3:O392,O392,$P$3:P392,P392,$Q$3:Q392,Q392)=1),1,0))</x:f>
      </x:c>
      <x:c r="S392" s="21" t="n">
        <x:f t="shared" si="8">IF(R392=1,Q392,0)</x:f>
        <x:v>0</x:v>
      </x:c>
      <x:c r="T392" s="15"/>
      <x:c r="U392" s="15"/>
      <x:c r="V392" s="15"/>
      <x:c r="W392" s="15"/>
      <x:c r="X392" s="15"/>
      <x:c r="Y392" s="15"/>
      <x:c r="Z392" s="14"/>
    </x:row>
    <x:row r="393" ht="14.399999618530273" customHeight="1">
      <x:c r="A393" s="14"/>
      <x:c r="B393" s="14"/>
      <x:c r="C393" s="14"/>
      <x:c r="D393" s="14"/>
      <x:c r="E393" s="14"/>
      <x:c r="F393" s="14"/>
      <x:c r="G393" s="14"/>
      <x:c r="H393" s="14"/>
      <x:c r="I393" s="14"/>
      <x:c r="J393" s="14"/>
      <x:c r="K393" s="14"/>
      <x:c r="L393" s="14"/>
      <x:c r="M393" s="14"/>
      <x:c r="N393" s="93" t="n">
        <x:f>'Registro de vuelos'!A394</x:f>
        <x:v>0</x:v>
      </x:c>
      <x:c r="O393" s="15" t="n">
        <x:f>'Registro de vuelos'!C394</x:f>
        <x:v>0</x:v>
      </x:c>
      <x:c r="P393" s="15" t="n">
        <x:f>'Registro de vuelos'!E394</x:f>
        <x:v>0</x:v>
      </x:c>
      <x:c r="Q393" s="21" t="n">
        <x:f>'Registro de vuelos'!F394</x:f>
        <x:v>0</x:v>
      </x:c>
      <x:c r="R393" s="21" t="str">
        <x:f>IF(N393="","",IF(AND(COUNTIFS($N$3:$N$502,N393,$O$3:$O$502,O393,$P$3:$P$502,P393,$Q$3:$Q$502,"&gt;"&amp;Q393)=0,COUNTIFS($N$3:N393,N393,$O$3:O393,O393,$P$3:P393,P393,$Q$3:Q393,Q393)=1),1,0))</x:f>
      </x:c>
      <x:c r="S393" s="21" t="n">
        <x:f t="shared" si="8">IF(R393=1,Q393,0)</x:f>
        <x:v>0</x:v>
      </x:c>
      <x:c r="T393" s="15"/>
      <x:c r="U393" s="15"/>
      <x:c r="V393" s="15"/>
      <x:c r="W393" s="15"/>
      <x:c r="X393" s="15"/>
      <x:c r="Y393" s="15"/>
      <x:c r="Z393" s="14"/>
    </x:row>
    <x:row r="394" ht="14.399999618530273" customHeight="1">
      <x:c r="A394" s="14"/>
      <x:c r="B394" s="14"/>
      <x:c r="C394" s="14"/>
      <x:c r="D394" s="14"/>
      <x:c r="E394" s="14"/>
      <x:c r="F394" s="14"/>
      <x:c r="G394" s="14"/>
      <x:c r="H394" s="14"/>
      <x:c r="I394" s="14"/>
      <x:c r="J394" s="14"/>
      <x:c r="K394" s="14"/>
      <x:c r="L394" s="14"/>
      <x:c r="M394" s="14"/>
      <x:c r="N394" s="93" t="n">
        <x:f>'Registro de vuelos'!A395</x:f>
        <x:v>0</x:v>
      </x:c>
      <x:c r="O394" s="15" t="n">
        <x:f>'Registro de vuelos'!C395</x:f>
        <x:v>0</x:v>
      </x:c>
      <x:c r="P394" s="15" t="n">
        <x:f>'Registro de vuelos'!E395</x:f>
        <x:v>0</x:v>
      </x:c>
      <x:c r="Q394" s="21" t="n">
        <x:f>'Registro de vuelos'!F395</x:f>
        <x:v>0</x:v>
      </x:c>
      <x:c r="R394" s="21" t="str">
        <x:f>IF(N394="","",IF(AND(COUNTIFS($N$3:$N$502,N394,$O$3:$O$502,O394,$P$3:$P$502,P394,$Q$3:$Q$502,"&gt;"&amp;Q394)=0,COUNTIFS($N$3:N394,N394,$O$3:O394,O394,$P$3:P394,P394,$Q$3:Q394,Q394)=1),1,0))</x:f>
      </x:c>
      <x:c r="S394" s="21" t="n">
        <x:f t="shared" si="8">IF(R394=1,Q394,0)</x:f>
        <x:v>0</x:v>
      </x:c>
      <x:c r="T394" s="15"/>
      <x:c r="U394" s="15"/>
      <x:c r="V394" s="15"/>
      <x:c r="W394" s="15"/>
      <x:c r="X394" s="15"/>
      <x:c r="Y394" s="15"/>
      <x:c r="Z394" s="14"/>
    </x:row>
    <x:row r="395" ht="14.399999618530273" customHeight="1">
      <x:c r="A395" s="14"/>
      <x:c r="B395" s="14"/>
      <x:c r="C395" s="14"/>
      <x:c r="D395" s="14"/>
      <x:c r="E395" s="14"/>
      <x:c r="F395" s="14"/>
      <x:c r="G395" s="14"/>
      <x:c r="H395" s="14"/>
      <x:c r="I395" s="14"/>
      <x:c r="J395" s="14"/>
      <x:c r="K395" s="14"/>
      <x:c r="L395" s="14"/>
      <x:c r="M395" s="14"/>
      <x:c r="N395" s="93" t="n">
        <x:f>'Registro de vuelos'!A396</x:f>
        <x:v>0</x:v>
      </x:c>
      <x:c r="O395" s="15" t="n">
        <x:f>'Registro de vuelos'!C396</x:f>
        <x:v>0</x:v>
      </x:c>
      <x:c r="P395" s="15" t="n">
        <x:f>'Registro de vuelos'!E396</x:f>
        <x:v>0</x:v>
      </x:c>
      <x:c r="Q395" s="21" t="n">
        <x:f>'Registro de vuelos'!F396</x:f>
        <x:v>0</x:v>
      </x:c>
      <x:c r="R395" s="21" t="str">
        <x:f>IF(N395="","",IF(AND(COUNTIFS($N$3:$N$502,N395,$O$3:$O$502,O395,$P$3:$P$502,P395,$Q$3:$Q$502,"&gt;"&amp;Q395)=0,COUNTIFS($N$3:N395,N395,$O$3:O395,O395,$P$3:P395,P395,$Q$3:Q395,Q395)=1),1,0))</x:f>
      </x:c>
      <x:c r="S395" s="21" t="n">
        <x:f t="shared" si="8">IF(R395=1,Q395,0)</x:f>
        <x:v>0</x:v>
      </x:c>
      <x:c r="T395" s="15"/>
      <x:c r="U395" s="15"/>
      <x:c r="V395" s="15"/>
      <x:c r="W395" s="15"/>
      <x:c r="X395" s="15"/>
      <x:c r="Y395" s="15"/>
      <x:c r="Z395" s="14"/>
    </x:row>
    <x:row r="396" ht="14.399999618530273" customHeight="1">
      <x:c r="A396" s="14"/>
      <x:c r="B396" s="14"/>
      <x:c r="C396" s="14"/>
      <x:c r="D396" s="14"/>
      <x:c r="E396" s="14"/>
      <x:c r="F396" s="14"/>
      <x:c r="G396" s="14"/>
      <x:c r="H396" s="14"/>
      <x:c r="I396" s="14"/>
      <x:c r="J396" s="14"/>
      <x:c r="K396" s="14"/>
      <x:c r="L396" s="14"/>
      <x:c r="M396" s="14"/>
      <x:c r="N396" s="93" t="n">
        <x:f>'Registro de vuelos'!A397</x:f>
        <x:v>0</x:v>
      </x:c>
      <x:c r="O396" s="15" t="n">
        <x:f>'Registro de vuelos'!C397</x:f>
        <x:v>0</x:v>
      </x:c>
      <x:c r="P396" s="15" t="n">
        <x:f>'Registro de vuelos'!E397</x:f>
        <x:v>0</x:v>
      </x:c>
      <x:c r="Q396" s="21" t="n">
        <x:f>'Registro de vuelos'!F397</x:f>
        <x:v>0</x:v>
      </x:c>
      <x:c r="R396" s="21" t="str">
        <x:f>IF(N396="","",IF(AND(COUNTIFS($N$3:$N$502,N396,$O$3:$O$502,O396,$P$3:$P$502,P396,$Q$3:$Q$502,"&gt;"&amp;Q396)=0,COUNTIFS($N$3:N396,N396,$O$3:O396,O396,$P$3:P396,P396,$Q$3:Q396,Q396)=1),1,0))</x:f>
      </x:c>
      <x:c r="S396" s="21" t="n">
        <x:f t="shared" si="8">IF(R396=1,Q396,0)</x:f>
        <x:v>0</x:v>
      </x:c>
      <x:c r="T396" s="15"/>
      <x:c r="U396" s="15"/>
      <x:c r="V396" s="15"/>
      <x:c r="W396" s="15"/>
      <x:c r="X396" s="15"/>
      <x:c r="Y396" s="15"/>
      <x:c r="Z396" s="14"/>
    </x:row>
    <x:row r="397" ht="14.399999618530273" customHeight="1">
      <x:c r="A397" s="14"/>
      <x:c r="B397" s="14"/>
      <x:c r="C397" s="14"/>
      <x:c r="D397" s="14"/>
      <x:c r="E397" s="14"/>
      <x:c r="F397" s="14"/>
      <x:c r="G397" s="14"/>
      <x:c r="H397" s="14"/>
      <x:c r="I397" s="14"/>
      <x:c r="J397" s="14"/>
      <x:c r="K397" s="14"/>
      <x:c r="L397" s="14"/>
      <x:c r="M397" s="14"/>
      <x:c r="N397" s="93" t="n">
        <x:f>'Registro de vuelos'!A398</x:f>
        <x:v>0</x:v>
      </x:c>
      <x:c r="O397" s="15" t="n">
        <x:f>'Registro de vuelos'!C398</x:f>
        <x:v>0</x:v>
      </x:c>
      <x:c r="P397" s="15" t="n">
        <x:f>'Registro de vuelos'!E398</x:f>
        <x:v>0</x:v>
      </x:c>
      <x:c r="Q397" s="21" t="n">
        <x:f>'Registro de vuelos'!F398</x:f>
        <x:v>0</x:v>
      </x:c>
      <x:c r="R397" s="21" t="str">
        <x:f>IF(N397="","",IF(AND(COUNTIFS($N$3:$N$502,N397,$O$3:$O$502,O397,$P$3:$P$502,P397,$Q$3:$Q$502,"&gt;"&amp;Q397)=0,COUNTIFS($N$3:N397,N397,$O$3:O397,O397,$P$3:P397,P397,$Q$3:Q397,Q397)=1),1,0))</x:f>
      </x:c>
      <x:c r="S397" s="21" t="n">
        <x:f t="shared" si="8">IF(R397=1,Q397,0)</x:f>
        <x:v>0</x:v>
      </x:c>
      <x:c r="T397" s="15"/>
      <x:c r="U397" s="15"/>
      <x:c r="V397" s="15"/>
      <x:c r="W397" s="15"/>
      <x:c r="X397" s="15"/>
      <x:c r="Y397" s="15"/>
      <x:c r="Z397" s="14"/>
    </x:row>
    <x:row r="398" ht="14.399999618530273" customHeight="1">
      <x:c r="A398" s="14"/>
      <x:c r="B398" s="14"/>
      <x:c r="C398" s="14"/>
      <x:c r="D398" s="14"/>
      <x:c r="E398" s="14"/>
      <x:c r="F398" s="14"/>
      <x:c r="G398" s="14"/>
      <x:c r="H398" s="14"/>
      <x:c r="I398" s="14"/>
      <x:c r="J398" s="14"/>
      <x:c r="K398" s="14"/>
      <x:c r="L398" s="14"/>
      <x:c r="M398" s="14"/>
      <x:c r="N398" s="93" t="n">
        <x:f>'Registro de vuelos'!A399</x:f>
        <x:v>0</x:v>
      </x:c>
      <x:c r="O398" s="15" t="n">
        <x:f>'Registro de vuelos'!C399</x:f>
        <x:v>0</x:v>
      </x:c>
      <x:c r="P398" s="15" t="n">
        <x:f>'Registro de vuelos'!E399</x:f>
        <x:v>0</x:v>
      </x:c>
      <x:c r="Q398" s="21" t="n">
        <x:f>'Registro de vuelos'!F399</x:f>
        <x:v>0</x:v>
      </x:c>
      <x:c r="R398" s="21" t="str">
        <x:f>IF(N398="","",IF(AND(COUNTIFS($N$3:$N$502,N398,$O$3:$O$502,O398,$P$3:$P$502,P398,$Q$3:$Q$502,"&gt;"&amp;Q398)=0,COUNTIFS($N$3:N398,N398,$O$3:O398,O398,$P$3:P398,P398,$Q$3:Q398,Q398)=1),1,0))</x:f>
      </x:c>
      <x:c r="S398" s="21" t="n">
        <x:f t="shared" si="8">IF(R398=1,Q398,0)</x:f>
        <x:v>0</x:v>
      </x:c>
      <x:c r="T398" s="15"/>
      <x:c r="U398" s="15"/>
      <x:c r="V398" s="15"/>
      <x:c r="W398" s="15"/>
      <x:c r="X398" s="15"/>
      <x:c r="Y398" s="15"/>
      <x:c r="Z398" s="14"/>
    </x:row>
    <x:row r="399" ht="14.399999618530273" customHeight="1">
      <x:c r="A399" s="14"/>
      <x:c r="B399" s="14"/>
      <x:c r="C399" s="14"/>
      <x:c r="D399" s="14"/>
      <x:c r="E399" s="14"/>
      <x:c r="F399" s="14"/>
      <x:c r="G399" s="14"/>
      <x:c r="H399" s="14"/>
      <x:c r="I399" s="14"/>
      <x:c r="J399" s="14"/>
      <x:c r="K399" s="14"/>
      <x:c r="L399" s="14"/>
      <x:c r="M399" s="14"/>
      <x:c r="N399" s="93" t="n">
        <x:f>'Registro de vuelos'!A400</x:f>
        <x:v>0</x:v>
      </x:c>
      <x:c r="O399" s="15" t="n">
        <x:f>'Registro de vuelos'!C400</x:f>
        <x:v>0</x:v>
      </x:c>
      <x:c r="P399" s="15" t="n">
        <x:f>'Registro de vuelos'!E400</x:f>
        <x:v>0</x:v>
      </x:c>
      <x:c r="Q399" s="21" t="n">
        <x:f>'Registro de vuelos'!F400</x:f>
        <x:v>0</x:v>
      </x:c>
      <x:c r="R399" s="21" t="str">
        <x:f>IF(N399="","",IF(AND(COUNTIFS($N$3:$N$502,N399,$O$3:$O$502,O399,$P$3:$P$502,P399,$Q$3:$Q$502,"&gt;"&amp;Q399)=0,COUNTIFS($N$3:N399,N399,$O$3:O399,O399,$P$3:P399,P399,$Q$3:Q399,Q399)=1),1,0))</x:f>
      </x:c>
      <x:c r="S399" s="21" t="n">
        <x:f t="shared" si="8">IF(R399=1,Q399,0)</x:f>
        <x:v>0</x:v>
      </x:c>
      <x:c r="T399" s="15"/>
      <x:c r="U399" s="15"/>
      <x:c r="V399" s="15"/>
      <x:c r="W399" s="15"/>
      <x:c r="X399" s="15"/>
      <x:c r="Y399" s="15"/>
      <x:c r="Z399" s="14"/>
    </x:row>
    <x:row r="400" ht="14.399999618530273" customHeight="1">
      <x:c r="A400" s="14"/>
      <x:c r="B400" s="14"/>
      <x:c r="C400" s="14"/>
      <x:c r="D400" s="14"/>
      <x:c r="E400" s="14"/>
      <x:c r="F400" s="14"/>
      <x:c r="G400" s="14"/>
      <x:c r="H400" s="14"/>
      <x:c r="I400" s="14"/>
      <x:c r="J400" s="14"/>
      <x:c r="K400" s="14"/>
      <x:c r="L400" s="14"/>
      <x:c r="M400" s="14"/>
      <x:c r="N400" s="93" t="n">
        <x:f>'Registro de vuelos'!A401</x:f>
        <x:v>0</x:v>
      </x:c>
      <x:c r="O400" s="15" t="n">
        <x:f>'Registro de vuelos'!C401</x:f>
        <x:v>0</x:v>
      </x:c>
      <x:c r="P400" s="15" t="n">
        <x:f>'Registro de vuelos'!E401</x:f>
        <x:v>0</x:v>
      </x:c>
      <x:c r="Q400" s="21" t="n">
        <x:f>'Registro de vuelos'!F401</x:f>
        <x:v>0</x:v>
      </x:c>
      <x:c r="R400" s="21" t="str">
        <x:f>IF(N400="","",IF(AND(COUNTIFS($N$3:$N$502,N400,$O$3:$O$502,O400,$P$3:$P$502,P400,$Q$3:$Q$502,"&gt;"&amp;Q400)=0,COUNTIFS($N$3:N400,N400,$O$3:O400,O400,$P$3:P400,P400,$Q$3:Q400,Q400)=1),1,0))</x:f>
      </x:c>
      <x:c r="S400" s="21" t="n">
        <x:f t="shared" si="8">IF(R400=1,Q400,0)</x:f>
        <x:v>0</x:v>
      </x:c>
      <x:c r="T400" s="15"/>
      <x:c r="U400" s="15"/>
      <x:c r="V400" s="15"/>
      <x:c r="W400" s="15"/>
      <x:c r="X400" s="15"/>
      <x:c r="Y400" s="15"/>
      <x:c r="Z400" s="14"/>
    </x:row>
    <x:row r="401" ht="14.399999618530273" customHeight="1">
      <x:c r="A401" s="14"/>
      <x:c r="B401" s="14"/>
      <x:c r="C401" s="14"/>
      <x:c r="D401" s="14"/>
      <x:c r="E401" s="14"/>
      <x:c r="F401" s="14"/>
      <x:c r="G401" s="14"/>
      <x:c r="H401" s="14"/>
      <x:c r="I401" s="14"/>
      <x:c r="J401" s="14"/>
      <x:c r="K401" s="14"/>
      <x:c r="L401" s="14"/>
      <x:c r="M401" s="14"/>
      <x:c r="N401" s="93" t="n">
        <x:f>'Registro de vuelos'!A402</x:f>
        <x:v>0</x:v>
      </x:c>
      <x:c r="O401" s="15" t="n">
        <x:f>'Registro de vuelos'!C402</x:f>
        <x:v>0</x:v>
      </x:c>
      <x:c r="P401" s="15" t="n">
        <x:f>'Registro de vuelos'!E402</x:f>
        <x:v>0</x:v>
      </x:c>
      <x:c r="Q401" s="21" t="n">
        <x:f>'Registro de vuelos'!F402</x:f>
        <x:v>0</x:v>
      </x:c>
      <x:c r="R401" s="21" t="str">
        <x:f>IF(N401="","",IF(AND(COUNTIFS($N$3:$N$502,N401,$O$3:$O$502,O401,$P$3:$P$502,P401,$Q$3:$Q$502,"&gt;"&amp;Q401)=0,COUNTIFS($N$3:N401,N401,$O$3:O401,O401,$P$3:P401,P401,$Q$3:Q401,Q401)=1),1,0))</x:f>
      </x:c>
      <x:c r="S401" s="21" t="n">
        <x:f t="shared" si="8">IF(R401=1,Q401,0)</x:f>
        <x:v>0</x:v>
      </x:c>
      <x:c r="T401" s="15"/>
      <x:c r="U401" s="15"/>
      <x:c r="V401" s="15"/>
      <x:c r="W401" s="15"/>
      <x:c r="X401" s="15"/>
      <x:c r="Y401" s="15"/>
      <x:c r="Z401" s="14"/>
    </x:row>
    <x:row r="402" ht="14.399999618530273" customHeight="1">
      <x:c r="A402" s="14"/>
      <x:c r="B402" s="14"/>
      <x:c r="C402" s="14"/>
      <x:c r="D402" s="14"/>
      <x:c r="E402" s="14"/>
      <x:c r="F402" s="14"/>
      <x:c r="G402" s="14"/>
      <x:c r="H402" s="14"/>
      <x:c r="I402" s="14"/>
      <x:c r="J402" s="14"/>
      <x:c r="K402" s="14"/>
      <x:c r="L402" s="14"/>
      <x:c r="M402" s="14"/>
      <x:c r="N402" s="93" t="n">
        <x:f>'Registro de vuelos'!A403</x:f>
        <x:v>0</x:v>
      </x:c>
      <x:c r="O402" s="15" t="n">
        <x:f>'Registro de vuelos'!C403</x:f>
        <x:v>0</x:v>
      </x:c>
      <x:c r="P402" s="15" t="n">
        <x:f>'Registro de vuelos'!E403</x:f>
        <x:v>0</x:v>
      </x:c>
      <x:c r="Q402" s="21" t="n">
        <x:f>'Registro de vuelos'!F403</x:f>
        <x:v>0</x:v>
      </x:c>
      <x:c r="R402" s="21" t="str">
        <x:f>IF(N402="","",IF(AND(COUNTIFS($N$3:$N$502,N402,$O$3:$O$502,O402,$P$3:$P$502,P402,$Q$3:$Q$502,"&gt;"&amp;Q402)=0,COUNTIFS($N$3:N402,N402,$O$3:O402,O402,$P$3:P402,P402,$Q$3:Q402,Q402)=1),1,0))</x:f>
      </x:c>
      <x:c r="S402" s="21" t="n">
        <x:f t="shared" si="8">IF(R402=1,Q402,0)</x:f>
        <x:v>0</x:v>
      </x:c>
      <x:c r="T402" s="15"/>
      <x:c r="U402" s="15"/>
      <x:c r="V402" s="15"/>
      <x:c r="W402" s="15"/>
      <x:c r="X402" s="15"/>
      <x:c r="Y402" s="15"/>
      <x:c r="Z402" s="14"/>
    </x:row>
    <x:row r="403" ht="14.399999618530273" customHeight="1">
      <x:c r="A403" s="14"/>
      <x:c r="B403" s="14"/>
      <x:c r="C403" s="14"/>
      <x:c r="D403" s="14"/>
      <x:c r="E403" s="14"/>
      <x:c r="F403" s="14"/>
      <x:c r="G403" s="14"/>
      <x:c r="H403" s="14"/>
      <x:c r="I403" s="14"/>
      <x:c r="J403" s="14"/>
      <x:c r="K403" s="14"/>
      <x:c r="L403" s="14"/>
      <x:c r="M403" s="14"/>
      <x:c r="N403" s="93" t="n">
        <x:f>'Registro de vuelos'!A404</x:f>
        <x:v>0</x:v>
      </x:c>
      <x:c r="O403" s="15" t="n">
        <x:f>'Registro de vuelos'!C404</x:f>
        <x:v>0</x:v>
      </x:c>
      <x:c r="P403" s="15" t="n">
        <x:f>'Registro de vuelos'!E404</x:f>
        <x:v>0</x:v>
      </x:c>
      <x:c r="Q403" s="21" t="n">
        <x:f>'Registro de vuelos'!F404</x:f>
        <x:v>0</x:v>
      </x:c>
      <x:c r="R403" s="21" t="str">
        <x:f>IF(N403="","",IF(AND(COUNTIFS($N$3:$N$502,N403,$O$3:$O$502,O403,$P$3:$P$502,P403,$Q$3:$Q$502,"&gt;"&amp;Q403)=0,COUNTIFS($N$3:N403,N403,$O$3:O403,O403,$P$3:P403,P403,$Q$3:Q403,Q403)=1),1,0))</x:f>
      </x:c>
      <x:c r="S403" s="21" t="n">
        <x:f t="shared" si="8">IF(R403=1,Q403,0)</x:f>
        <x:v>0</x:v>
      </x:c>
      <x:c r="T403" s="15"/>
      <x:c r="U403" s="15"/>
      <x:c r="V403" s="15"/>
      <x:c r="W403" s="15"/>
      <x:c r="X403" s="15"/>
      <x:c r="Y403" s="15"/>
      <x:c r="Z403" s="14"/>
    </x:row>
    <x:row r="404" ht="14.399999618530273" customHeight="1">
      <x:c r="A404" s="14"/>
      <x:c r="B404" s="14"/>
      <x:c r="C404" s="14"/>
      <x:c r="D404" s="14"/>
      <x:c r="E404" s="14"/>
      <x:c r="F404" s="14"/>
      <x:c r="G404" s="14"/>
      <x:c r="H404" s="14"/>
      <x:c r="I404" s="14"/>
      <x:c r="J404" s="14"/>
      <x:c r="K404" s="14"/>
      <x:c r="L404" s="14"/>
      <x:c r="M404" s="14"/>
      <x:c r="N404" s="93" t="n">
        <x:f>'Registro de vuelos'!A405</x:f>
        <x:v>0</x:v>
      </x:c>
      <x:c r="O404" s="15" t="n">
        <x:f>'Registro de vuelos'!C405</x:f>
        <x:v>0</x:v>
      </x:c>
      <x:c r="P404" s="15" t="n">
        <x:f>'Registro de vuelos'!E405</x:f>
        <x:v>0</x:v>
      </x:c>
      <x:c r="Q404" s="21" t="n">
        <x:f>'Registro de vuelos'!F405</x:f>
        <x:v>0</x:v>
      </x:c>
      <x:c r="R404" s="21" t="str">
        <x:f>IF(N404="","",IF(AND(COUNTIFS($N$3:$N$502,N404,$O$3:$O$502,O404,$P$3:$P$502,P404,$Q$3:$Q$502,"&gt;"&amp;Q404)=0,COUNTIFS($N$3:N404,N404,$O$3:O404,O404,$P$3:P404,P404,$Q$3:Q404,Q404)=1),1,0))</x:f>
      </x:c>
      <x:c r="S404" s="21" t="n">
        <x:f t="shared" si="8">IF(R404=1,Q404,0)</x:f>
        <x:v>0</x:v>
      </x:c>
      <x:c r="T404" s="15"/>
      <x:c r="U404" s="15"/>
      <x:c r="V404" s="15"/>
      <x:c r="W404" s="15"/>
      <x:c r="X404" s="15"/>
      <x:c r="Y404" s="15"/>
      <x:c r="Z404" s="14"/>
    </x:row>
    <x:row r="405" ht="14.399999618530273" customHeight="1">
      <x:c r="A405" s="14"/>
      <x:c r="B405" s="14"/>
      <x:c r="C405" s="14"/>
      <x:c r="D405" s="14"/>
      <x:c r="E405" s="14"/>
      <x:c r="F405" s="14"/>
      <x:c r="G405" s="14"/>
      <x:c r="H405" s="14"/>
      <x:c r="I405" s="14"/>
      <x:c r="J405" s="14"/>
      <x:c r="K405" s="14"/>
      <x:c r="L405" s="14"/>
      <x:c r="M405" s="14"/>
      <x:c r="N405" s="93" t="n">
        <x:f>'Registro de vuelos'!A406</x:f>
        <x:v>0</x:v>
      </x:c>
      <x:c r="O405" s="15" t="n">
        <x:f>'Registro de vuelos'!C406</x:f>
        <x:v>0</x:v>
      </x:c>
      <x:c r="P405" s="15" t="n">
        <x:f>'Registro de vuelos'!E406</x:f>
        <x:v>0</x:v>
      </x:c>
      <x:c r="Q405" s="21" t="n">
        <x:f>'Registro de vuelos'!F406</x:f>
        <x:v>0</x:v>
      </x:c>
      <x:c r="R405" s="21" t="str">
        <x:f>IF(N405="","",IF(AND(COUNTIFS($N$3:$N$502,N405,$O$3:$O$502,O405,$P$3:$P$502,P405,$Q$3:$Q$502,"&gt;"&amp;Q405)=0,COUNTIFS($N$3:N405,N405,$O$3:O405,O405,$P$3:P405,P405,$Q$3:Q405,Q405)=1),1,0))</x:f>
      </x:c>
      <x:c r="S405" s="21" t="n">
        <x:f t="shared" si="8">IF(R405=1,Q405,0)</x:f>
        <x:v>0</x:v>
      </x:c>
      <x:c r="T405" s="15"/>
      <x:c r="U405" s="15"/>
      <x:c r="V405" s="15"/>
      <x:c r="W405" s="15"/>
      <x:c r="X405" s="15"/>
      <x:c r="Y405" s="15"/>
      <x:c r="Z405" s="14"/>
    </x:row>
    <x:row r="406" ht="14.399999618530273" customHeight="1">
      <x:c r="A406" s="14"/>
      <x:c r="B406" s="14"/>
      <x:c r="C406" s="14"/>
      <x:c r="D406" s="14"/>
      <x:c r="E406" s="14"/>
      <x:c r="F406" s="14"/>
      <x:c r="G406" s="14"/>
      <x:c r="H406" s="14"/>
      <x:c r="I406" s="14"/>
      <x:c r="J406" s="14"/>
      <x:c r="K406" s="14"/>
      <x:c r="L406" s="14"/>
      <x:c r="M406" s="14"/>
      <x:c r="N406" s="93" t="n">
        <x:f>'Registro de vuelos'!A407</x:f>
        <x:v>0</x:v>
      </x:c>
      <x:c r="O406" s="15" t="n">
        <x:f>'Registro de vuelos'!C407</x:f>
        <x:v>0</x:v>
      </x:c>
      <x:c r="P406" s="15" t="n">
        <x:f>'Registro de vuelos'!E407</x:f>
        <x:v>0</x:v>
      </x:c>
      <x:c r="Q406" s="21" t="n">
        <x:f>'Registro de vuelos'!F407</x:f>
        <x:v>0</x:v>
      </x:c>
      <x:c r="R406" s="21" t="str">
        <x:f>IF(N406="","",IF(AND(COUNTIFS($N$3:$N$502,N406,$O$3:$O$502,O406,$P$3:$P$502,P406,$Q$3:$Q$502,"&gt;"&amp;Q406)=0,COUNTIFS($N$3:N406,N406,$O$3:O406,O406,$P$3:P406,P406,$Q$3:Q406,Q406)=1),1,0))</x:f>
      </x:c>
      <x:c r="S406" s="21" t="n">
        <x:f t="shared" si="8">IF(R406=1,Q406,0)</x:f>
        <x:v>0</x:v>
      </x:c>
      <x:c r="T406" s="15"/>
      <x:c r="U406" s="15"/>
      <x:c r="V406" s="15"/>
      <x:c r="W406" s="15"/>
      <x:c r="X406" s="15"/>
      <x:c r="Y406" s="15"/>
      <x:c r="Z406" s="14"/>
    </x:row>
    <x:row r="407" ht="14.399999618530273" customHeight="1">
      <x:c r="A407" s="14"/>
      <x:c r="B407" s="14"/>
      <x:c r="C407" s="14"/>
      <x:c r="D407" s="14"/>
      <x:c r="E407" s="14"/>
      <x:c r="F407" s="14"/>
      <x:c r="G407" s="14"/>
      <x:c r="H407" s="14"/>
      <x:c r="I407" s="14"/>
      <x:c r="J407" s="14"/>
      <x:c r="K407" s="14"/>
      <x:c r="L407" s="14"/>
      <x:c r="M407" s="14"/>
      <x:c r="N407" s="93" t="n">
        <x:f>'Registro de vuelos'!A408</x:f>
        <x:v>0</x:v>
      </x:c>
      <x:c r="O407" s="15" t="n">
        <x:f>'Registro de vuelos'!C408</x:f>
        <x:v>0</x:v>
      </x:c>
      <x:c r="P407" s="15" t="n">
        <x:f>'Registro de vuelos'!E408</x:f>
        <x:v>0</x:v>
      </x:c>
      <x:c r="Q407" s="21" t="n">
        <x:f>'Registro de vuelos'!F408</x:f>
        <x:v>0</x:v>
      </x:c>
      <x:c r="R407" s="21" t="str">
        <x:f>IF(N407="","",IF(AND(COUNTIFS($N$3:$N$502,N407,$O$3:$O$502,O407,$P$3:$P$502,P407,$Q$3:$Q$502,"&gt;"&amp;Q407)=0,COUNTIFS($N$3:N407,N407,$O$3:O407,O407,$P$3:P407,P407,$Q$3:Q407,Q407)=1),1,0))</x:f>
      </x:c>
      <x:c r="S407" s="21" t="n">
        <x:f t="shared" si="8">IF(R407=1,Q407,0)</x:f>
        <x:v>0</x:v>
      </x:c>
      <x:c r="T407" s="15"/>
      <x:c r="U407" s="15"/>
      <x:c r="V407" s="15"/>
      <x:c r="W407" s="15"/>
      <x:c r="X407" s="15"/>
      <x:c r="Y407" s="15"/>
      <x:c r="Z407" s="14"/>
    </x:row>
    <x:row r="408" ht="14.399999618530273" customHeight="1">
      <x:c r="A408" s="14"/>
      <x:c r="B408" s="14"/>
      <x:c r="C408" s="14"/>
      <x:c r="D408" s="14"/>
      <x:c r="E408" s="14"/>
      <x:c r="F408" s="14"/>
      <x:c r="G408" s="14"/>
      <x:c r="H408" s="14"/>
      <x:c r="I408" s="14"/>
      <x:c r="J408" s="14"/>
      <x:c r="K408" s="14"/>
      <x:c r="L408" s="14"/>
      <x:c r="M408" s="14"/>
      <x:c r="N408" s="93" t="n">
        <x:f>'Registro de vuelos'!A409</x:f>
        <x:v>0</x:v>
      </x:c>
      <x:c r="O408" s="15" t="n">
        <x:f>'Registro de vuelos'!C409</x:f>
        <x:v>0</x:v>
      </x:c>
      <x:c r="P408" s="15" t="n">
        <x:f>'Registro de vuelos'!E409</x:f>
        <x:v>0</x:v>
      </x:c>
      <x:c r="Q408" s="21" t="n">
        <x:f>'Registro de vuelos'!F409</x:f>
        <x:v>0</x:v>
      </x:c>
      <x:c r="R408" s="21" t="str">
        <x:f>IF(N408="","",IF(AND(COUNTIFS($N$3:$N$502,N408,$O$3:$O$502,O408,$P$3:$P$502,P408,$Q$3:$Q$502,"&gt;"&amp;Q408)=0,COUNTIFS($N$3:N408,N408,$O$3:O408,O408,$P$3:P408,P408,$Q$3:Q408,Q408)=1),1,0))</x:f>
      </x:c>
      <x:c r="S408" s="21" t="n">
        <x:f t="shared" si="8">IF(R408=1,Q408,0)</x:f>
        <x:v>0</x:v>
      </x:c>
      <x:c r="T408" s="15"/>
      <x:c r="U408" s="15"/>
      <x:c r="V408" s="15"/>
      <x:c r="W408" s="15"/>
      <x:c r="X408" s="15"/>
      <x:c r="Y408" s="15"/>
      <x:c r="Z408" s="14"/>
    </x:row>
    <x:row r="409" ht="14.399999618530273" customHeight="1">
      <x:c r="A409" s="14"/>
      <x:c r="B409" s="14"/>
      <x:c r="C409" s="14"/>
      <x:c r="D409" s="14"/>
      <x:c r="E409" s="14"/>
      <x:c r="F409" s="14"/>
      <x:c r="G409" s="14"/>
      <x:c r="H409" s="14"/>
      <x:c r="I409" s="14"/>
      <x:c r="J409" s="14"/>
      <x:c r="K409" s="14"/>
      <x:c r="L409" s="14"/>
      <x:c r="M409" s="14"/>
      <x:c r="N409" s="93" t="n">
        <x:f>'Registro de vuelos'!A410</x:f>
        <x:v>0</x:v>
      </x:c>
      <x:c r="O409" s="15" t="n">
        <x:f>'Registro de vuelos'!C410</x:f>
        <x:v>0</x:v>
      </x:c>
      <x:c r="P409" s="15" t="n">
        <x:f>'Registro de vuelos'!E410</x:f>
        <x:v>0</x:v>
      </x:c>
      <x:c r="Q409" s="21" t="n">
        <x:f>'Registro de vuelos'!F410</x:f>
        <x:v>0</x:v>
      </x:c>
      <x:c r="R409" s="21" t="str">
        <x:f>IF(N409="","",IF(AND(COUNTIFS($N$3:$N$502,N409,$O$3:$O$502,O409,$P$3:$P$502,P409,$Q$3:$Q$502,"&gt;"&amp;Q409)=0,COUNTIFS($N$3:N409,N409,$O$3:O409,O409,$P$3:P409,P409,$Q$3:Q409,Q409)=1),1,0))</x:f>
      </x:c>
      <x:c r="S409" s="21" t="n">
        <x:f t="shared" si="8">IF(R409=1,Q409,0)</x:f>
        <x:v>0</x:v>
      </x:c>
      <x:c r="T409" s="15"/>
      <x:c r="U409" s="15"/>
      <x:c r="V409" s="15"/>
      <x:c r="W409" s="15"/>
      <x:c r="X409" s="15"/>
      <x:c r="Y409" s="15"/>
      <x:c r="Z409" s="14"/>
    </x:row>
    <x:row r="410" ht="14.399999618530273" customHeight="1">
      <x:c r="A410" s="14"/>
      <x:c r="B410" s="14"/>
      <x:c r="C410" s="14"/>
      <x:c r="D410" s="14"/>
      <x:c r="E410" s="14"/>
      <x:c r="F410" s="14"/>
      <x:c r="G410" s="14"/>
      <x:c r="H410" s="14"/>
      <x:c r="I410" s="14"/>
      <x:c r="J410" s="14"/>
      <x:c r="K410" s="14"/>
      <x:c r="L410" s="14"/>
      <x:c r="M410" s="14"/>
      <x:c r="N410" s="93" t="n">
        <x:f>'Registro de vuelos'!A411</x:f>
        <x:v>0</x:v>
      </x:c>
      <x:c r="O410" s="15" t="n">
        <x:f>'Registro de vuelos'!C411</x:f>
        <x:v>0</x:v>
      </x:c>
      <x:c r="P410" s="15" t="n">
        <x:f>'Registro de vuelos'!E411</x:f>
        <x:v>0</x:v>
      </x:c>
      <x:c r="Q410" s="21" t="n">
        <x:f>'Registro de vuelos'!F411</x:f>
        <x:v>0</x:v>
      </x:c>
      <x:c r="R410" s="21" t="str">
        <x:f>IF(N410="","",IF(AND(COUNTIFS($N$3:$N$502,N410,$O$3:$O$502,O410,$P$3:$P$502,P410,$Q$3:$Q$502,"&gt;"&amp;Q410)=0,COUNTIFS($N$3:N410,N410,$O$3:O410,O410,$P$3:P410,P410,$Q$3:Q410,Q410)=1),1,0))</x:f>
      </x:c>
      <x:c r="S410" s="21" t="n">
        <x:f t="shared" si="8">IF(R410=1,Q410,0)</x:f>
        <x:v>0</x:v>
      </x:c>
      <x:c r="T410" s="15"/>
      <x:c r="U410" s="15"/>
      <x:c r="V410" s="15"/>
      <x:c r="W410" s="15"/>
      <x:c r="X410" s="15"/>
      <x:c r="Y410" s="15"/>
      <x:c r="Z410" s="14"/>
    </x:row>
    <x:row r="411" ht="14.399999618530273" customHeight="1">
      <x:c r="A411" s="14"/>
      <x:c r="B411" s="14"/>
      <x:c r="C411" s="14"/>
      <x:c r="D411" s="14"/>
      <x:c r="E411" s="14"/>
      <x:c r="F411" s="14"/>
      <x:c r="G411" s="14"/>
      <x:c r="H411" s="14"/>
      <x:c r="I411" s="14"/>
      <x:c r="J411" s="14"/>
      <x:c r="K411" s="14"/>
      <x:c r="L411" s="14"/>
      <x:c r="M411" s="14"/>
      <x:c r="N411" s="93" t="n">
        <x:f>'Registro de vuelos'!A412</x:f>
        <x:v>0</x:v>
      </x:c>
      <x:c r="O411" s="15" t="n">
        <x:f>'Registro de vuelos'!C412</x:f>
        <x:v>0</x:v>
      </x:c>
      <x:c r="P411" s="15" t="n">
        <x:f>'Registro de vuelos'!E412</x:f>
        <x:v>0</x:v>
      </x:c>
      <x:c r="Q411" s="21" t="n">
        <x:f>'Registro de vuelos'!F412</x:f>
        <x:v>0</x:v>
      </x:c>
      <x:c r="R411" s="21" t="str">
        <x:f>IF(N411="","",IF(AND(COUNTIFS($N$3:$N$502,N411,$O$3:$O$502,O411,$P$3:$P$502,P411,$Q$3:$Q$502,"&gt;"&amp;Q411)=0,COUNTIFS($N$3:N411,N411,$O$3:O411,O411,$P$3:P411,P411,$Q$3:Q411,Q411)=1),1,0))</x:f>
      </x:c>
      <x:c r="S411" s="21" t="n">
        <x:f t="shared" si="8">IF(R411=1,Q411,0)</x:f>
        <x:v>0</x:v>
      </x:c>
      <x:c r="T411" s="15"/>
      <x:c r="U411" s="15"/>
      <x:c r="V411" s="15"/>
      <x:c r="W411" s="15"/>
      <x:c r="X411" s="15"/>
      <x:c r="Y411" s="15"/>
      <x:c r="Z411" s="14"/>
    </x:row>
    <x:row r="412" ht="14.399999618530273" customHeight="1">
      <x:c r="A412" s="14"/>
      <x:c r="B412" s="14"/>
      <x:c r="C412" s="14"/>
      <x:c r="D412" s="14"/>
      <x:c r="E412" s="14"/>
      <x:c r="F412" s="14"/>
      <x:c r="G412" s="14"/>
      <x:c r="H412" s="14"/>
      <x:c r="I412" s="14"/>
      <x:c r="J412" s="14"/>
      <x:c r="K412" s="14"/>
      <x:c r="L412" s="14"/>
      <x:c r="M412" s="14"/>
      <x:c r="N412" s="93" t="n">
        <x:f>'Registro de vuelos'!A413</x:f>
        <x:v>0</x:v>
      </x:c>
      <x:c r="O412" s="15" t="n">
        <x:f>'Registro de vuelos'!C413</x:f>
        <x:v>0</x:v>
      </x:c>
      <x:c r="P412" s="15" t="n">
        <x:f>'Registro de vuelos'!E413</x:f>
        <x:v>0</x:v>
      </x:c>
      <x:c r="Q412" s="21" t="n">
        <x:f>'Registro de vuelos'!F413</x:f>
        <x:v>0</x:v>
      </x:c>
      <x:c r="R412" s="21" t="str">
        <x:f>IF(N412="","",IF(AND(COUNTIFS($N$3:$N$502,N412,$O$3:$O$502,O412,$P$3:$P$502,P412,$Q$3:$Q$502,"&gt;"&amp;Q412)=0,COUNTIFS($N$3:N412,N412,$O$3:O412,O412,$P$3:P412,P412,$Q$3:Q412,Q412)=1),1,0))</x:f>
      </x:c>
      <x:c r="S412" s="21" t="n">
        <x:f t="shared" si="8">IF(R412=1,Q412,0)</x:f>
        <x:v>0</x:v>
      </x:c>
      <x:c r="T412" s="15"/>
      <x:c r="U412" s="15"/>
      <x:c r="V412" s="15"/>
      <x:c r="W412" s="15"/>
      <x:c r="X412" s="15"/>
      <x:c r="Y412" s="15"/>
      <x:c r="Z412" s="14"/>
    </x:row>
    <x:row r="413" ht="14.399999618530273" customHeight="1">
      <x:c r="A413" s="14"/>
      <x:c r="B413" s="14"/>
      <x:c r="C413" s="14"/>
      <x:c r="D413" s="14"/>
      <x:c r="E413" s="14"/>
      <x:c r="F413" s="14"/>
      <x:c r="G413" s="14"/>
      <x:c r="H413" s="14"/>
      <x:c r="I413" s="14"/>
      <x:c r="J413" s="14"/>
      <x:c r="K413" s="14"/>
      <x:c r="L413" s="14"/>
      <x:c r="M413" s="14"/>
      <x:c r="N413" s="93" t="n">
        <x:f>'Registro de vuelos'!A414</x:f>
        <x:v>0</x:v>
      </x:c>
      <x:c r="O413" s="15" t="n">
        <x:f>'Registro de vuelos'!C414</x:f>
        <x:v>0</x:v>
      </x:c>
      <x:c r="P413" s="15" t="n">
        <x:f>'Registro de vuelos'!E414</x:f>
        <x:v>0</x:v>
      </x:c>
      <x:c r="Q413" s="21" t="n">
        <x:f>'Registro de vuelos'!F414</x:f>
        <x:v>0</x:v>
      </x:c>
      <x:c r="R413" s="21" t="str">
        <x:f>IF(N413="","",IF(AND(COUNTIFS($N$3:$N$502,N413,$O$3:$O$502,O413,$P$3:$P$502,P413,$Q$3:$Q$502,"&gt;"&amp;Q413)=0,COUNTIFS($N$3:N413,N413,$O$3:O413,O413,$P$3:P413,P413,$Q$3:Q413,Q413)=1),1,0))</x:f>
      </x:c>
      <x:c r="S413" s="21" t="n">
        <x:f t="shared" si="8">IF(R413=1,Q413,0)</x:f>
        <x:v>0</x:v>
      </x:c>
      <x:c r="T413" s="15"/>
      <x:c r="U413" s="15"/>
      <x:c r="V413" s="15"/>
      <x:c r="W413" s="15"/>
      <x:c r="X413" s="15"/>
      <x:c r="Y413" s="15"/>
      <x:c r="Z413" s="14"/>
    </x:row>
    <x:row r="414" ht="14.399999618530273" customHeight="1">
      <x:c r="A414" s="14"/>
      <x:c r="B414" s="14"/>
      <x:c r="C414" s="14"/>
      <x:c r="D414" s="14"/>
      <x:c r="E414" s="14"/>
      <x:c r="F414" s="14"/>
      <x:c r="G414" s="14"/>
      <x:c r="H414" s="14"/>
      <x:c r="I414" s="14"/>
      <x:c r="J414" s="14"/>
      <x:c r="K414" s="14"/>
      <x:c r="L414" s="14"/>
      <x:c r="M414" s="14"/>
      <x:c r="N414" s="93" t="n">
        <x:f>'Registro de vuelos'!A415</x:f>
        <x:v>0</x:v>
      </x:c>
      <x:c r="O414" s="15" t="n">
        <x:f>'Registro de vuelos'!C415</x:f>
        <x:v>0</x:v>
      </x:c>
      <x:c r="P414" s="15" t="n">
        <x:f>'Registro de vuelos'!E415</x:f>
        <x:v>0</x:v>
      </x:c>
      <x:c r="Q414" s="21" t="n">
        <x:f>'Registro de vuelos'!F415</x:f>
        <x:v>0</x:v>
      </x:c>
      <x:c r="R414" s="21" t="str">
        <x:f>IF(N414="","",IF(AND(COUNTIFS($N$3:$N$502,N414,$O$3:$O$502,O414,$P$3:$P$502,P414,$Q$3:$Q$502,"&gt;"&amp;Q414)=0,COUNTIFS($N$3:N414,N414,$O$3:O414,O414,$P$3:P414,P414,$Q$3:Q414,Q414)=1),1,0))</x:f>
      </x:c>
      <x:c r="S414" s="21" t="n">
        <x:f t="shared" si="8">IF(R414=1,Q414,0)</x:f>
        <x:v>0</x:v>
      </x:c>
      <x:c r="T414" s="15"/>
      <x:c r="U414" s="15"/>
      <x:c r="V414" s="15"/>
      <x:c r="W414" s="15"/>
      <x:c r="X414" s="15"/>
      <x:c r="Y414" s="15"/>
      <x:c r="Z414" s="14"/>
    </x:row>
    <x:row r="415" ht="14.399999618530273" customHeight="1">
      <x:c r="A415" s="14"/>
      <x:c r="B415" s="14"/>
      <x:c r="C415" s="14"/>
      <x:c r="D415" s="14"/>
      <x:c r="E415" s="14"/>
      <x:c r="F415" s="14"/>
      <x:c r="G415" s="14"/>
      <x:c r="H415" s="14"/>
      <x:c r="I415" s="14"/>
      <x:c r="J415" s="14"/>
      <x:c r="K415" s="14"/>
      <x:c r="L415" s="14"/>
      <x:c r="M415" s="14"/>
      <x:c r="N415" s="93" t="n">
        <x:f>'Registro de vuelos'!A416</x:f>
        <x:v>0</x:v>
      </x:c>
      <x:c r="O415" s="15" t="n">
        <x:f>'Registro de vuelos'!C416</x:f>
        <x:v>0</x:v>
      </x:c>
      <x:c r="P415" s="15" t="n">
        <x:f>'Registro de vuelos'!E416</x:f>
        <x:v>0</x:v>
      </x:c>
      <x:c r="Q415" s="21" t="n">
        <x:f>'Registro de vuelos'!F416</x:f>
        <x:v>0</x:v>
      </x:c>
      <x:c r="R415" s="21" t="str">
        <x:f>IF(N415="","",IF(AND(COUNTIFS($N$3:$N$502,N415,$O$3:$O$502,O415,$P$3:$P$502,P415,$Q$3:$Q$502,"&gt;"&amp;Q415)=0,COUNTIFS($N$3:N415,N415,$O$3:O415,O415,$P$3:P415,P415,$Q$3:Q415,Q415)=1),1,0))</x:f>
      </x:c>
      <x:c r="S415" s="21" t="n">
        <x:f t="shared" si="8">IF(R415=1,Q415,0)</x:f>
        <x:v>0</x:v>
      </x:c>
      <x:c r="T415" s="15"/>
      <x:c r="U415" s="15"/>
      <x:c r="V415" s="15"/>
      <x:c r="W415" s="15"/>
      <x:c r="X415" s="15"/>
      <x:c r="Y415" s="15"/>
      <x:c r="Z415" s="14"/>
    </x:row>
    <x:row r="416" ht="14.399999618530273" customHeight="1">
      <x:c r="A416" s="14"/>
      <x:c r="B416" s="14"/>
      <x:c r="C416" s="14"/>
      <x:c r="D416" s="14"/>
      <x:c r="E416" s="14"/>
      <x:c r="F416" s="14"/>
      <x:c r="G416" s="14"/>
      <x:c r="H416" s="14"/>
      <x:c r="I416" s="14"/>
      <x:c r="J416" s="14"/>
      <x:c r="K416" s="14"/>
      <x:c r="L416" s="14"/>
      <x:c r="M416" s="14"/>
      <x:c r="N416" s="93" t="n">
        <x:f>'Registro de vuelos'!A417</x:f>
        <x:v>0</x:v>
      </x:c>
      <x:c r="O416" s="15" t="n">
        <x:f>'Registro de vuelos'!C417</x:f>
        <x:v>0</x:v>
      </x:c>
      <x:c r="P416" s="15" t="n">
        <x:f>'Registro de vuelos'!E417</x:f>
        <x:v>0</x:v>
      </x:c>
      <x:c r="Q416" s="21" t="n">
        <x:f>'Registro de vuelos'!F417</x:f>
        <x:v>0</x:v>
      </x:c>
      <x:c r="R416" s="21" t="str">
        <x:f>IF(N416="","",IF(AND(COUNTIFS($N$3:$N$502,N416,$O$3:$O$502,O416,$P$3:$P$502,P416,$Q$3:$Q$502,"&gt;"&amp;Q416)=0,COUNTIFS($N$3:N416,N416,$O$3:O416,O416,$P$3:P416,P416,$Q$3:Q416,Q416)=1),1,0))</x:f>
      </x:c>
      <x:c r="S416" s="21" t="n">
        <x:f t="shared" si="8">IF(R416=1,Q416,0)</x:f>
        <x:v>0</x:v>
      </x:c>
      <x:c r="T416" s="15"/>
      <x:c r="U416" s="15"/>
      <x:c r="V416" s="15"/>
      <x:c r="W416" s="15"/>
      <x:c r="X416" s="15"/>
      <x:c r="Y416" s="15"/>
      <x:c r="Z416" s="14"/>
    </x:row>
    <x:row r="417" ht="14.399999618530273" customHeight="1">
      <x:c r="A417" s="14"/>
      <x:c r="B417" s="14"/>
      <x:c r="C417" s="14"/>
      <x:c r="D417" s="14"/>
      <x:c r="E417" s="14"/>
      <x:c r="F417" s="14"/>
      <x:c r="G417" s="14"/>
      <x:c r="H417" s="14"/>
      <x:c r="I417" s="14"/>
      <x:c r="J417" s="14"/>
      <x:c r="K417" s="14"/>
      <x:c r="L417" s="14"/>
      <x:c r="M417" s="14"/>
      <x:c r="N417" s="93" t="n">
        <x:f>'Registro de vuelos'!A418</x:f>
        <x:v>0</x:v>
      </x:c>
      <x:c r="O417" s="15" t="n">
        <x:f>'Registro de vuelos'!C418</x:f>
        <x:v>0</x:v>
      </x:c>
      <x:c r="P417" s="15" t="n">
        <x:f>'Registro de vuelos'!E418</x:f>
        <x:v>0</x:v>
      </x:c>
      <x:c r="Q417" s="21" t="n">
        <x:f>'Registro de vuelos'!F418</x:f>
        <x:v>0</x:v>
      </x:c>
      <x:c r="R417" s="21" t="str">
        <x:f>IF(N417="","",IF(AND(COUNTIFS($N$3:$N$502,N417,$O$3:$O$502,O417,$P$3:$P$502,P417,$Q$3:$Q$502,"&gt;"&amp;Q417)=0,COUNTIFS($N$3:N417,N417,$O$3:O417,O417,$P$3:P417,P417,$Q$3:Q417,Q417)=1),1,0))</x:f>
      </x:c>
      <x:c r="S417" s="21" t="n">
        <x:f t="shared" si="8">IF(R417=1,Q417,0)</x:f>
        <x:v>0</x:v>
      </x:c>
      <x:c r="T417" s="15"/>
      <x:c r="U417" s="15"/>
      <x:c r="V417" s="15"/>
      <x:c r="W417" s="15"/>
      <x:c r="X417" s="15"/>
      <x:c r="Y417" s="15"/>
      <x:c r="Z417" s="14"/>
    </x:row>
    <x:row r="418" ht="14.399999618530273" customHeight="1">
      <x:c r="A418" s="14"/>
      <x:c r="B418" s="14"/>
      <x:c r="C418" s="14"/>
      <x:c r="D418" s="14"/>
      <x:c r="E418" s="14"/>
      <x:c r="F418" s="14"/>
      <x:c r="G418" s="14"/>
      <x:c r="H418" s="14"/>
      <x:c r="I418" s="14"/>
      <x:c r="J418" s="14"/>
      <x:c r="K418" s="14"/>
      <x:c r="L418" s="14"/>
      <x:c r="M418" s="14"/>
      <x:c r="N418" s="93" t="n">
        <x:f>'Registro de vuelos'!A419</x:f>
        <x:v>0</x:v>
      </x:c>
      <x:c r="O418" s="15" t="n">
        <x:f>'Registro de vuelos'!C419</x:f>
        <x:v>0</x:v>
      </x:c>
      <x:c r="P418" s="15" t="n">
        <x:f>'Registro de vuelos'!E419</x:f>
        <x:v>0</x:v>
      </x:c>
      <x:c r="Q418" s="21" t="n">
        <x:f>'Registro de vuelos'!F419</x:f>
        <x:v>0</x:v>
      </x:c>
      <x:c r="R418" s="21" t="str">
        <x:f>IF(N418="","",IF(AND(COUNTIFS($N$3:$N$502,N418,$O$3:$O$502,O418,$P$3:$P$502,P418,$Q$3:$Q$502,"&gt;"&amp;Q418)=0,COUNTIFS($N$3:N418,N418,$O$3:O418,O418,$P$3:P418,P418,$Q$3:Q418,Q418)=1),1,0))</x:f>
      </x:c>
      <x:c r="S418" s="21" t="n">
        <x:f t="shared" si="8">IF(R418=1,Q418,0)</x:f>
        <x:v>0</x:v>
      </x:c>
      <x:c r="T418" s="15"/>
      <x:c r="U418" s="15"/>
      <x:c r="V418" s="15"/>
      <x:c r="W418" s="15"/>
      <x:c r="X418" s="15"/>
      <x:c r="Y418" s="15"/>
      <x:c r="Z418" s="14"/>
    </x:row>
    <x:row r="419" ht="14.399999618530273" customHeight="1">
      <x:c r="A419" s="14"/>
      <x:c r="B419" s="14"/>
      <x:c r="C419" s="14"/>
      <x:c r="D419" s="14"/>
      <x:c r="E419" s="14"/>
      <x:c r="F419" s="14"/>
      <x:c r="G419" s="14"/>
      <x:c r="H419" s="14"/>
      <x:c r="I419" s="14"/>
      <x:c r="J419" s="14"/>
      <x:c r="K419" s="14"/>
      <x:c r="L419" s="14"/>
      <x:c r="M419" s="14"/>
      <x:c r="N419" s="93" t="n">
        <x:f>'Registro de vuelos'!A420</x:f>
        <x:v>0</x:v>
      </x:c>
      <x:c r="O419" s="15" t="n">
        <x:f>'Registro de vuelos'!C420</x:f>
        <x:v>0</x:v>
      </x:c>
      <x:c r="P419" s="15" t="n">
        <x:f>'Registro de vuelos'!E420</x:f>
        <x:v>0</x:v>
      </x:c>
      <x:c r="Q419" s="21" t="n">
        <x:f>'Registro de vuelos'!F420</x:f>
        <x:v>0</x:v>
      </x:c>
      <x:c r="R419" s="21" t="str">
        <x:f>IF(N419="","",IF(AND(COUNTIFS($N$3:$N$502,N419,$O$3:$O$502,O419,$P$3:$P$502,P419,$Q$3:$Q$502,"&gt;"&amp;Q419)=0,COUNTIFS($N$3:N419,N419,$O$3:O419,O419,$P$3:P419,P419,$Q$3:Q419,Q419)=1),1,0))</x:f>
      </x:c>
      <x:c r="S419" s="21" t="n">
        <x:f t="shared" si="8">IF(R419=1,Q419,0)</x:f>
        <x:v>0</x:v>
      </x:c>
      <x:c r="T419" s="15"/>
      <x:c r="U419" s="15"/>
      <x:c r="V419" s="15"/>
      <x:c r="W419" s="15"/>
      <x:c r="X419" s="15"/>
      <x:c r="Y419" s="15"/>
      <x:c r="Z419" s="14"/>
    </x:row>
    <x:row r="420" ht="14.399999618530273" customHeight="1">
      <x:c r="A420" s="14"/>
      <x:c r="B420" s="14"/>
      <x:c r="C420" s="14"/>
      <x:c r="D420" s="14"/>
      <x:c r="E420" s="14"/>
      <x:c r="F420" s="14"/>
      <x:c r="G420" s="14"/>
      <x:c r="H420" s="14"/>
      <x:c r="I420" s="14"/>
      <x:c r="J420" s="14"/>
      <x:c r="K420" s="14"/>
      <x:c r="L420" s="14"/>
      <x:c r="M420" s="14"/>
      <x:c r="N420" s="93" t="n">
        <x:f>'Registro de vuelos'!A421</x:f>
        <x:v>0</x:v>
      </x:c>
      <x:c r="O420" s="15" t="n">
        <x:f>'Registro de vuelos'!C421</x:f>
        <x:v>0</x:v>
      </x:c>
      <x:c r="P420" s="15" t="n">
        <x:f>'Registro de vuelos'!E421</x:f>
        <x:v>0</x:v>
      </x:c>
      <x:c r="Q420" s="21" t="n">
        <x:f>'Registro de vuelos'!F421</x:f>
        <x:v>0</x:v>
      </x:c>
      <x:c r="R420" s="21" t="str">
        <x:f>IF(N420="","",IF(AND(COUNTIFS($N$3:$N$502,N420,$O$3:$O$502,O420,$P$3:$P$502,P420,$Q$3:$Q$502,"&gt;"&amp;Q420)=0,COUNTIFS($N$3:N420,N420,$O$3:O420,O420,$P$3:P420,P420,$Q$3:Q420,Q420)=1),1,0))</x:f>
      </x:c>
      <x:c r="S420" s="21" t="n">
        <x:f t="shared" si="8">IF(R420=1,Q420,0)</x:f>
        <x:v>0</x:v>
      </x:c>
      <x:c r="T420" s="15"/>
      <x:c r="U420" s="15"/>
      <x:c r="V420" s="15"/>
      <x:c r="W420" s="15"/>
      <x:c r="X420" s="15"/>
      <x:c r="Y420" s="15"/>
      <x:c r="Z420" s="14"/>
    </x:row>
    <x:row r="421" ht="14.399999618530273" customHeight="1">
      <x:c r="A421" s="14"/>
      <x:c r="B421" s="14"/>
      <x:c r="C421" s="14"/>
      <x:c r="D421" s="14"/>
      <x:c r="E421" s="14"/>
      <x:c r="F421" s="14"/>
      <x:c r="G421" s="14"/>
      <x:c r="H421" s="14"/>
      <x:c r="I421" s="14"/>
      <x:c r="J421" s="14"/>
      <x:c r="K421" s="14"/>
      <x:c r="L421" s="14"/>
      <x:c r="M421" s="14"/>
      <x:c r="N421" s="93" t="n">
        <x:f>'Registro de vuelos'!A422</x:f>
        <x:v>0</x:v>
      </x:c>
      <x:c r="O421" s="15" t="n">
        <x:f>'Registro de vuelos'!C422</x:f>
        <x:v>0</x:v>
      </x:c>
      <x:c r="P421" s="15" t="n">
        <x:f>'Registro de vuelos'!E422</x:f>
        <x:v>0</x:v>
      </x:c>
      <x:c r="Q421" s="21" t="n">
        <x:f>'Registro de vuelos'!F422</x:f>
        <x:v>0</x:v>
      </x:c>
      <x:c r="R421" s="21" t="str">
        <x:f>IF(N421="","",IF(AND(COUNTIFS($N$3:$N$502,N421,$O$3:$O$502,O421,$P$3:$P$502,P421,$Q$3:$Q$502,"&gt;"&amp;Q421)=0,COUNTIFS($N$3:N421,N421,$O$3:O421,O421,$P$3:P421,P421,$Q$3:Q421,Q421)=1),1,0))</x:f>
      </x:c>
      <x:c r="S421" s="21" t="n">
        <x:f t="shared" si="8">IF(R421=1,Q421,0)</x:f>
        <x:v>0</x:v>
      </x:c>
      <x:c r="T421" s="15"/>
      <x:c r="U421" s="15"/>
      <x:c r="V421" s="15"/>
      <x:c r="W421" s="15"/>
      <x:c r="X421" s="15"/>
      <x:c r="Y421" s="15"/>
      <x:c r="Z421" s="14"/>
    </x:row>
    <x:row r="422" ht="14.399999618530273" customHeight="1">
      <x:c r="A422" s="14"/>
      <x:c r="B422" s="14"/>
      <x:c r="C422" s="14"/>
      <x:c r="D422" s="14"/>
      <x:c r="E422" s="14"/>
      <x:c r="F422" s="14"/>
      <x:c r="G422" s="14"/>
      <x:c r="H422" s="14"/>
      <x:c r="I422" s="14"/>
      <x:c r="J422" s="14"/>
      <x:c r="K422" s="14"/>
      <x:c r="L422" s="14"/>
      <x:c r="M422" s="14"/>
      <x:c r="N422" s="93" t="n">
        <x:f>'Registro de vuelos'!A423</x:f>
        <x:v>0</x:v>
      </x:c>
      <x:c r="O422" s="15" t="n">
        <x:f>'Registro de vuelos'!C423</x:f>
        <x:v>0</x:v>
      </x:c>
      <x:c r="P422" s="15" t="n">
        <x:f>'Registro de vuelos'!E423</x:f>
        <x:v>0</x:v>
      </x:c>
      <x:c r="Q422" s="21" t="n">
        <x:f>'Registro de vuelos'!F423</x:f>
        <x:v>0</x:v>
      </x:c>
      <x:c r="R422" s="21" t="str">
        <x:f>IF(N422="","",IF(AND(COUNTIFS($N$3:$N$502,N422,$O$3:$O$502,O422,$P$3:$P$502,P422,$Q$3:$Q$502,"&gt;"&amp;Q422)=0,COUNTIFS($N$3:N422,N422,$O$3:O422,O422,$P$3:P422,P422,$Q$3:Q422,Q422)=1),1,0))</x:f>
      </x:c>
      <x:c r="S422" s="21" t="n">
        <x:f t="shared" si="8">IF(R422=1,Q422,0)</x:f>
        <x:v>0</x:v>
      </x:c>
      <x:c r="T422" s="15"/>
      <x:c r="U422" s="15"/>
      <x:c r="V422" s="15"/>
      <x:c r="W422" s="15"/>
      <x:c r="X422" s="15"/>
      <x:c r="Y422" s="15"/>
      <x:c r="Z422" s="14"/>
    </x:row>
    <x:row r="423" ht="14.399999618530273" customHeight="1">
      <x:c r="A423" s="14"/>
      <x:c r="B423" s="14"/>
      <x:c r="C423" s="14"/>
      <x:c r="D423" s="14"/>
      <x:c r="E423" s="14"/>
      <x:c r="F423" s="14"/>
      <x:c r="G423" s="14"/>
      <x:c r="H423" s="14"/>
      <x:c r="I423" s="14"/>
      <x:c r="J423" s="14"/>
      <x:c r="K423" s="14"/>
      <x:c r="L423" s="14"/>
      <x:c r="M423" s="14"/>
      <x:c r="N423" s="93" t="n">
        <x:f>'Registro de vuelos'!A424</x:f>
        <x:v>0</x:v>
      </x:c>
      <x:c r="O423" s="15" t="n">
        <x:f>'Registro de vuelos'!C424</x:f>
        <x:v>0</x:v>
      </x:c>
      <x:c r="P423" s="15" t="n">
        <x:f>'Registro de vuelos'!E424</x:f>
        <x:v>0</x:v>
      </x:c>
      <x:c r="Q423" s="21" t="n">
        <x:f>'Registro de vuelos'!F424</x:f>
        <x:v>0</x:v>
      </x:c>
      <x:c r="R423" s="21" t="str">
        <x:f>IF(N423="","",IF(AND(COUNTIFS($N$3:$N$502,N423,$O$3:$O$502,O423,$P$3:$P$502,P423,$Q$3:$Q$502,"&gt;"&amp;Q423)=0,COUNTIFS($N$3:N423,N423,$O$3:O423,O423,$P$3:P423,P423,$Q$3:Q423,Q423)=1),1,0))</x:f>
      </x:c>
      <x:c r="S423" s="21" t="n">
        <x:f t="shared" si="8">IF(R423=1,Q423,0)</x:f>
        <x:v>0</x:v>
      </x:c>
      <x:c r="T423" s="15"/>
      <x:c r="U423" s="15"/>
      <x:c r="V423" s="15"/>
      <x:c r="W423" s="15"/>
      <x:c r="X423" s="15"/>
      <x:c r="Y423" s="15"/>
      <x:c r="Z423" s="14"/>
    </x:row>
    <x:row r="424" ht="14.399999618530273" customHeight="1">
      <x:c r="A424" s="14"/>
      <x:c r="B424" s="14"/>
      <x:c r="C424" s="14"/>
      <x:c r="D424" s="14"/>
      <x:c r="E424" s="14"/>
      <x:c r="F424" s="14"/>
      <x:c r="G424" s="14"/>
      <x:c r="H424" s="14"/>
      <x:c r="I424" s="14"/>
      <x:c r="J424" s="14"/>
      <x:c r="K424" s="14"/>
      <x:c r="L424" s="14"/>
      <x:c r="M424" s="14"/>
      <x:c r="N424" s="93" t="n">
        <x:f>'Registro de vuelos'!A425</x:f>
        <x:v>0</x:v>
      </x:c>
      <x:c r="O424" s="15" t="n">
        <x:f>'Registro de vuelos'!C425</x:f>
        <x:v>0</x:v>
      </x:c>
      <x:c r="P424" s="15" t="n">
        <x:f>'Registro de vuelos'!E425</x:f>
        <x:v>0</x:v>
      </x:c>
      <x:c r="Q424" s="21" t="n">
        <x:f>'Registro de vuelos'!F425</x:f>
        <x:v>0</x:v>
      </x:c>
      <x:c r="R424" s="21" t="str">
        <x:f>IF(N424="","",IF(AND(COUNTIFS($N$3:$N$502,N424,$O$3:$O$502,O424,$P$3:$P$502,P424,$Q$3:$Q$502,"&gt;"&amp;Q424)=0,COUNTIFS($N$3:N424,N424,$O$3:O424,O424,$P$3:P424,P424,$Q$3:Q424,Q424)=1),1,0))</x:f>
      </x:c>
      <x:c r="S424" s="21" t="n">
        <x:f t="shared" si="8">IF(R424=1,Q424,0)</x:f>
        <x:v>0</x:v>
      </x:c>
      <x:c r="T424" s="15"/>
      <x:c r="U424" s="15"/>
      <x:c r="V424" s="15"/>
      <x:c r="W424" s="15"/>
      <x:c r="X424" s="15"/>
      <x:c r="Y424" s="15"/>
      <x:c r="Z424" s="14"/>
    </x:row>
    <x:row r="425" ht="14.399999618530273" customHeight="1">
      <x:c r="A425" s="14"/>
      <x:c r="B425" s="14"/>
      <x:c r="C425" s="14"/>
      <x:c r="D425" s="14"/>
      <x:c r="E425" s="14"/>
      <x:c r="F425" s="14"/>
      <x:c r="G425" s="14"/>
      <x:c r="H425" s="14"/>
      <x:c r="I425" s="14"/>
      <x:c r="J425" s="14"/>
      <x:c r="K425" s="14"/>
      <x:c r="L425" s="14"/>
      <x:c r="M425" s="14"/>
      <x:c r="N425" s="93" t="n">
        <x:f>'Registro de vuelos'!A426</x:f>
        <x:v>0</x:v>
      </x:c>
      <x:c r="O425" s="15" t="n">
        <x:f>'Registro de vuelos'!C426</x:f>
        <x:v>0</x:v>
      </x:c>
      <x:c r="P425" s="15" t="n">
        <x:f>'Registro de vuelos'!E426</x:f>
        <x:v>0</x:v>
      </x:c>
      <x:c r="Q425" s="21" t="n">
        <x:f>'Registro de vuelos'!F426</x:f>
        <x:v>0</x:v>
      </x:c>
      <x:c r="R425" s="21" t="str">
        <x:f>IF(N425="","",IF(AND(COUNTIFS($N$3:$N$502,N425,$O$3:$O$502,O425,$P$3:$P$502,P425,$Q$3:$Q$502,"&gt;"&amp;Q425)=0,COUNTIFS($N$3:N425,N425,$O$3:O425,O425,$P$3:P425,P425,$Q$3:Q425,Q425)=1),1,0))</x:f>
      </x:c>
      <x:c r="S425" s="21" t="n">
        <x:f t="shared" si="8">IF(R425=1,Q425,0)</x:f>
        <x:v>0</x:v>
      </x:c>
      <x:c r="T425" s="15"/>
      <x:c r="U425" s="15"/>
      <x:c r="V425" s="15"/>
      <x:c r="W425" s="15"/>
      <x:c r="X425" s="15"/>
      <x:c r="Y425" s="15"/>
      <x:c r="Z425" s="14"/>
    </x:row>
    <x:row r="426" ht="14.399999618530273" customHeight="1">
      <x:c r="A426" s="14"/>
      <x:c r="B426" s="14"/>
      <x:c r="C426" s="14"/>
      <x:c r="D426" s="14"/>
      <x:c r="E426" s="14"/>
      <x:c r="F426" s="14"/>
      <x:c r="G426" s="14"/>
      <x:c r="H426" s="14"/>
      <x:c r="I426" s="14"/>
      <x:c r="J426" s="14"/>
      <x:c r="K426" s="14"/>
      <x:c r="L426" s="14"/>
      <x:c r="M426" s="14"/>
      <x:c r="N426" s="93" t="n">
        <x:f>'Registro de vuelos'!A427</x:f>
        <x:v>0</x:v>
      </x:c>
      <x:c r="O426" s="15" t="n">
        <x:f>'Registro de vuelos'!C427</x:f>
        <x:v>0</x:v>
      </x:c>
      <x:c r="P426" s="15" t="n">
        <x:f>'Registro de vuelos'!E427</x:f>
        <x:v>0</x:v>
      </x:c>
      <x:c r="Q426" s="21" t="n">
        <x:f>'Registro de vuelos'!F427</x:f>
        <x:v>0</x:v>
      </x:c>
      <x:c r="R426" s="21" t="str">
        <x:f>IF(N426="","",IF(AND(COUNTIFS($N$3:$N$502,N426,$O$3:$O$502,O426,$P$3:$P$502,P426,$Q$3:$Q$502,"&gt;"&amp;Q426)=0,COUNTIFS($N$3:N426,N426,$O$3:O426,O426,$P$3:P426,P426,$Q$3:Q426,Q426)=1),1,0))</x:f>
      </x:c>
      <x:c r="S426" s="21" t="n">
        <x:f t="shared" si="8">IF(R426=1,Q426,0)</x:f>
        <x:v>0</x:v>
      </x:c>
      <x:c r="T426" s="15"/>
      <x:c r="U426" s="15"/>
      <x:c r="V426" s="15"/>
      <x:c r="W426" s="15"/>
      <x:c r="X426" s="15"/>
      <x:c r="Y426" s="15"/>
      <x:c r="Z426" s="14"/>
    </x:row>
    <x:row r="427" ht="14.399999618530273" customHeight="1">
      <x:c r="A427" s="14"/>
      <x:c r="B427" s="14"/>
      <x:c r="C427" s="14"/>
      <x:c r="D427" s="14"/>
      <x:c r="E427" s="14"/>
      <x:c r="F427" s="14"/>
      <x:c r="G427" s="14"/>
      <x:c r="H427" s="14"/>
      <x:c r="I427" s="14"/>
      <x:c r="J427" s="14"/>
      <x:c r="K427" s="14"/>
      <x:c r="L427" s="14"/>
      <x:c r="M427" s="14"/>
      <x:c r="N427" s="93" t="n">
        <x:f>'Registro de vuelos'!A428</x:f>
        <x:v>0</x:v>
      </x:c>
      <x:c r="O427" s="15" t="n">
        <x:f>'Registro de vuelos'!C428</x:f>
        <x:v>0</x:v>
      </x:c>
      <x:c r="P427" s="15" t="n">
        <x:f>'Registro de vuelos'!E428</x:f>
        <x:v>0</x:v>
      </x:c>
      <x:c r="Q427" s="21" t="n">
        <x:f>'Registro de vuelos'!F428</x:f>
        <x:v>0</x:v>
      </x:c>
      <x:c r="R427" s="21" t="str">
        <x:f>IF(N427="","",IF(AND(COUNTIFS($N$3:$N$502,N427,$O$3:$O$502,O427,$P$3:$P$502,P427,$Q$3:$Q$502,"&gt;"&amp;Q427)=0,COUNTIFS($N$3:N427,N427,$O$3:O427,O427,$P$3:P427,P427,$Q$3:Q427,Q427)=1),1,0))</x:f>
      </x:c>
      <x:c r="S427" s="21" t="n">
        <x:f t="shared" si="8">IF(R427=1,Q427,0)</x:f>
        <x:v>0</x:v>
      </x:c>
      <x:c r="T427" s="15"/>
      <x:c r="U427" s="15"/>
      <x:c r="V427" s="15"/>
      <x:c r="W427" s="15"/>
      <x:c r="X427" s="15"/>
      <x:c r="Y427" s="15"/>
      <x:c r="Z427" s="14"/>
    </x:row>
    <x:row r="428" ht="14.399999618530273" customHeight="1">
      <x:c r="A428" s="14"/>
      <x:c r="B428" s="14"/>
      <x:c r="C428" s="14"/>
      <x:c r="D428" s="14"/>
      <x:c r="E428" s="14"/>
      <x:c r="F428" s="14"/>
      <x:c r="G428" s="14"/>
      <x:c r="H428" s="14"/>
      <x:c r="I428" s="14"/>
      <x:c r="J428" s="14"/>
      <x:c r="K428" s="14"/>
      <x:c r="L428" s="14"/>
      <x:c r="M428" s="14"/>
      <x:c r="N428" s="93" t="n">
        <x:f>'Registro de vuelos'!A429</x:f>
        <x:v>0</x:v>
      </x:c>
      <x:c r="O428" s="15" t="n">
        <x:f>'Registro de vuelos'!C429</x:f>
        <x:v>0</x:v>
      </x:c>
      <x:c r="P428" s="15" t="n">
        <x:f>'Registro de vuelos'!E429</x:f>
        <x:v>0</x:v>
      </x:c>
      <x:c r="Q428" s="21" t="n">
        <x:f>'Registro de vuelos'!F429</x:f>
        <x:v>0</x:v>
      </x:c>
      <x:c r="R428" s="21" t="str">
        <x:f>IF(N428="","",IF(AND(COUNTIFS($N$3:$N$502,N428,$O$3:$O$502,O428,$P$3:$P$502,P428,$Q$3:$Q$502,"&gt;"&amp;Q428)=0,COUNTIFS($N$3:N428,N428,$O$3:O428,O428,$P$3:P428,P428,$Q$3:Q428,Q428)=1),1,0))</x:f>
      </x:c>
      <x:c r="S428" s="21" t="n">
        <x:f t="shared" si="8">IF(R428=1,Q428,0)</x:f>
        <x:v>0</x:v>
      </x:c>
      <x:c r="T428" s="15"/>
      <x:c r="U428" s="15"/>
      <x:c r="V428" s="15"/>
      <x:c r="W428" s="15"/>
      <x:c r="X428" s="15"/>
      <x:c r="Y428" s="15"/>
      <x:c r="Z428" s="14"/>
    </x:row>
    <x:row r="429" ht="14.399999618530273" customHeight="1">
      <x:c r="A429" s="14"/>
      <x:c r="B429" s="14"/>
      <x:c r="C429" s="14"/>
      <x:c r="D429" s="14"/>
      <x:c r="E429" s="14"/>
      <x:c r="F429" s="14"/>
      <x:c r="G429" s="14"/>
      <x:c r="H429" s="14"/>
      <x:c r="I429" s="14"/>
      <x:c r="J429" s="14"/>
      <x:c r="K429" s="14"/>
      <x:c r="L429" s="14"/>
      <x:c r="M429" s="14"/>
      <x:c r="N429" s="93" t="n">
        <x:f>'Registro de vuelos'!A430</x:f>
        <x:v>0</x:v>
      </x:c>
      <x:c r="O429" s="15" t="n">
        <x:f>'Registro de vuelos'!C430</x:f>
        <x:v>0</x:v>
      </x:c>
      <x:c r="P429" s="15" t="n">
        <x:f>'Registro de vuelos'!E430</x:f>
        <x:v>0</x:v>
      </x:c>
      <x:c r="Q429" s="21" t="n">
        <x:f>'Registro de vuelos'!F430</x:f>
        <x:v>0</x:v>
      </x:c>
      <x:c r="R429" s="21" t="str">
        <x:f>IF(N429="","",IF(AND(COUNTIFS($N$3:$N$502,N429,$O$3:$O$502,O429,$P$3:$P$502,P429,$Q$3:$Q$502,"&gt;"&amp;Q429)=0,COUNTIFS($N$3:N429,N429,$O$3:O429,O429,$P$3:P429,P429,$Q$3:Q429,Q429)=1),1,0))</x:f>
      </x:c>
      <x:c r="S429" s="21" t="n">
        <x:f t="shared" si="8">IF(R429=1,Q429,0)</x:f>
        <x:v>0</x:v>
      </x:c>
      <x:c r="T429" s="15"/>
      <x:c r="U429" s="15"/>
      <x:c r="V429" s="15"/>
      <x:c r="W429" s="15"/>
      <x:c r="X429" s="15"/>
      <x:c r="Y429" s="15"/>
      <x:c r="Z429" s="14"/>
    </x:row>
    <x:row r="430" ht="14.399999618530273" customHeight="1">
      <x:c r="A430" s="14"/>
      <x:c r="B430" s="14"/>
      <x:c r="C430" s="14"/>
      <x:c r="D430" s="14"/>
      <x:c r="E430" s="14"/>
      <x:c r="F430" s="14"/>
      <x:c r="G430" s="14"/>
      <x:c r="H430" s="14"/>
      <x:c r="I430" s="14"/>
      <x:c r="J430" s="14"/>
      <x:c r="K430" s="14"/>
      <x:c r="L430" s="14"/>
      <x:c r="M430" s="14"/>
      <x:c r="N430" s="93" t="n">
        <x:f>'Registro de vuelos'!A431</x:f>
        <x:v>0</x:v>
      </x:c>
      <x:c r="O430" s="15" t="n">
        <x:f>'Registro de vuelos'!C431</x:f>
        <x:v>0</x:v>
      </x:c>
      <x:c r="P430" s="15" t="n">
        <x:f>'Registro de vuelos'!E431</x:f>
        <x:v>0</x:v>
      </x:c>
      <x:c r="Q430" s="21" t="n">
        <x:f>'Registro de vuelos'!F431</x:f>
        <x:v>0</x:v>
      </x:c>
      <x:c r="R430" s="21" t="str">
        <x:f>IF(N430="","",IF(AND(COUNTIFS($N$3:$N$502,N430,$O$3:$O$502,O430,$P$3:$P$502,P430,$Q$3:$Q$502,"&gt;"&amp;Q430)=0,COUNTIFS($N$3:N430,N430,$O$3:O430,O430,$P$3:P430,P430,$Q$3:Q430,Q430)=1),1,0))</x:f>
      </x:c>
      <x:c r="S430" s="21" t="n">
        <x:f t="shared" si="8">IF(R430=1,Q430,0)</x:f>
        <x:v>0</x:v>
      </x:c>
      <x:c r="T430" s="15"/>
      <x:c r="U430" s="15"/>
      <x:c r="V430" s="15"/>
      <x:c r="W430" s="15"/>
      <x:c r="X430" s="15"/>
      <x:c r="Y430" s="15"/>
      <x:c r="Z430" s="14"/>
    </x:row>
    <x:row r="431" ht="14.399999618530273" customHeight="1">
      <x:c r="A431" s="14"/>
      <x:c r="B431" s="14"/>
      <x:c r="C431" s="14"/>
      <x:c r="D431" s="14"/>
      <x:c r="E431" s="14"/>
      <x:c r="F431" s="14"/>
      <x:c r="G431" s="14"/>
      <x:c r="H431" s="14"/>
      <x:c r="I431" s="14"/>
      <x:c r="J431" s="14"/>
      <x:c r="K431" s="14"/>
      <x:c r="L431" s="14"/>
      <x:c r="M431" s="14"/>
      <x:c r="N431" s="93" t="n">
        <x:f>'Registro de vuelos'!A432</x:f>
        <x:v>0</x:v>
      </x:c>
      <x:c r="O431" s="15" t="n">
        <x:f>'Registro de vuelos'!C432</x:f>
        <x:v>0</x:v>
      </x:c>
      <x:c r="P431" s="15" t="n">
        <x:f>'Registro de vuelos'!E432</x:f>
        <x:v>0</x:v>
      </x:c>
      <x:c r="Q431" s="21" t="n">
        <x:f>'Registro de vuelos'!F432</x:f>
        <x:v>0</x:v>
      </x:c>
      <x:c r="R431" s="21" t="str">
        <x:f>IF(N431="","",IF(AND(COUNTIFS($N$3:$N$502,N431,$O$3:$O$502,O431,$P$3:$P$502,P431,$Q$3:$Q$502,"&gt;"&amp;Q431)=0,COUNTIFS($N$3:N431,N431,$O$3:O431,O431,$P$3:P431,P431,$Q$3:Q431,Q431)=1),1,0))</x:f>
      </x:c>
      <x:c r="S431" s="21" t="n">
        <x:f t="shared" si="8">IF(R431=1,Q431,0)</x:f>
        <x:v>0</x:v>
      </x:c>
      <x:c r="T431" s="15"/>
      <x:c r="U431" s="15"/>
      <x:c r="V431" s="15"/>
      <x:c r="W431" s="15"/>
      <x:c r="X431" s="15"/>
      <x:c r="Y431" s="15"/>
      <x:c r="Z431" s="14"/>
    </x:row>
    <x:row r="432" ht="14.399999618530273" customHeight="1">
      <x:c r="A432" s="14"/>
      <x:c r="B432" s="14"/>
      <x:c r="C432" s="14"/>
      <x:c r="D432" s="14"/>
      <x:c r="E432" s="14"/>
      <x:c r="F432" s="14"/>
      <x:c r="G432" s="14"/>
      <x:c r="H432" s="14"/>
      <x:c r="I432" s="14"/>
      <x:c r="J432" s="14"/>
      <x:c r="K432" s="14"/>
      <x:c r="L432" s="14"/>
      <x:c r="M432" s="14"/>
      <x:c r="N432" s="93" t="n">
        <x:f>'Registro de vuelos'!A433</x:f>
        <x:v>0</x:v>
      </x:c>
      <x:c r="O432" s="15" t="n">
        <x:f>'Registro de vuelos'!C433</x:f>
        <x:v>0</x:v>
      </x:c>
      <x:c r="P432" s="15" t="n">
        <x:f>'Registro de vuelos'!E433</x:f>
        <x:v>0</x:v>
      </x:c>
      <x:c r="Q432" s="21" t="n">
        <x:f>'Registro de vuelos'!F433</x:f>
        <x:v>0</x:v>
      </x:c>
      <x:c r="R432" s="21" t="str">
        <x:f>IF(N432="","",IF(AND(COUNTIFS($N$3:$N$502,N432,$O$3:$O$502,O432,$P$3:$P$502,P432,$Q$3:$Q$502,"&gt;"&amp;Q432)=0,COUNTIFS($N$3:N432,N432,$O$3:O432,O432,$P$3:P432,P432,$Q$3:Q432,Q432)=1),1,0))</x:f>
      </x:c>
      <x:c r="S432" s="21" t="n">
        <x:f t="shared" si="8">IF(R432=1,Q432,0)</x:f>
        <x:v>0</x:v>
      </x:c>
      <x:c r="T432" s="15"/>
      <x:c r="U432" s="15"/>
      <x:c r="V432" s="15"/>
      <x:c r="W432" s="15"/>
      <x:c r="X432" s="15"/>
      <x:c r="Y432" s="15"/>
      <x:c r="Z432" s="14"/>
    </x:row>
    <x:row r="433" ht="14.399999618530273" customHeight="1">
      <x:c r="A433" s="14"/>
      <x:c r="B433" s="14"/>
      <x:c r="C433" s="14"/>
      <x:c r="D433" s="14"/>
      <x:c r="E433" s="14"/>
      <x:c r="F433" s="14"/>
      <x:c r="G433" s="14"/>
      <x:c r="H433" s="14"/>
      <x:c r="I433" s="14"/>
      <x:c r="J433" s="14"/>
      <x:c r="K433" s="14"/>
      <x:c r="L433" s="14"/>
      <x:c r="M433" s="14"/>
      <x:c r="N433" s="93" t="n">
        <x:f>'Registro de vuelos'!A434</x:f>
        <x:v>0</x:v>
      </x:c>
      <x:c r="O433" s="15" t="n">
        <x:f>'Registro de vuelos'!C434</x:f>
        <x:v>0</x:v>
      </x:c>
      <x:c r="P433" s="15" t="n">
        <x:f>'Registro de vuelos'!E434</x:f>
        <x:v>0</x:v>
      </x:c>
      <x:c r="Q433" s="21" t="n">
        <x:f>'Registro de vuelos'!F434</x:f>
        <x:v>0</x:v>
      </x:c>
      <x:c r="R433" s="21" t="str">
        <x:f>IF(N433="","",IF(AND(COUNTIFS($N$3:$N$502,N433,$O$3:$O$502,O433,$P$3:$P$502,P433,$Q$3:$Q$502,"&gt;"&amp;Q433)=0,COUNTIFS($N$3:N433,N433,$O$3:O433,O433,$P$3:P433,P433,$Q$3:Q433,Q433)=1),1,0))</x:f>
      </x:c>
      <x:c r="S433" s="21" t="n">
        <x:f t="shared" si="8">IF(R433=1,Q433,0)</x:f>
        <x:v>0</x:v>
      </x:c>
      <x:c r="T433" s="15"/>
      <x:c r="U433" s="15"/>
      <x:c r="V433" s="15"/>
      <x:c r="W433" s="15"/>
      <x:c r="X433" s="15"/>
      <x:c r="Y433" s="15"/>
      <x:c r="Z433" s="14"/>
    </x:row>
    <x:row r="434" ht="14.399999618530273" customHeight="1">
      <x:c r="A434" s="14"/>
      <x:c r="B434" s="14"/>
      <x:c r="C434" s="14"/>
      <x:c r="D434" s="14"/>
      <x:c r="E434" s="14"/>
      <x:c r="F434" s="14"/>
      <x:c r="G434" s="14"/>
      <x:c r="H434" s="14"/>
      <x:c r="I434" s="14"/>
      <x:c r="J434" s="14"/>
      <x:c r="K434" s="14"/>
      <x:c r="L434" s="14"/>
      <x:c r="M434" s="14"/>
      <x:c r="N434" s="93" t="n">
        <x:f>'Registro de vuelos'!A435</x:f>
        <x:v>0</x:v>
      </x:c>
      <x:c r="O434" s="15" t="n">
        <x:f>'Registro de vuelos'!C435</x:f>
        <x:v>0</x:v>
      </x:c>
      <x:c r="P434" s="15" t="n">
        <x:f>'Registro de vuelos'!E435</x:f>
        <x:v>0</x:v>
      </x:c>
      <x:c r="Q434" s="21" t="n">
        <x:f>'Registro de vuelos'!F435</x:f>
        <x:v>0</x:v>
      </x:c>
      <x:c r="R434" s="21" t="str">
        <x:f>IF(N434="","",IF(AND(COUNTIFS($N$3:$N$502,N434,$O$3:$O$502,O434,$P$3:$P$502,P434,$Q$3:$Q$502,"&gt;"&amp;Q434)=0,COUNTIFS($N$3:N434,N434,$O$3:O434,O434,$P$3:P434,P434,$Q$3:Q434,Q434)=1),1,0))</x:f>
      </x:c>
      <x:c r="S434" s="21" t="n">
        <x:f t="shared" si="8">IF(R434=1,Q434,0)</x:f>
        <x:v>0</x:v>
      </x:c>
      <x:c r="T434" s="15"/>
      <x:c r="U434" s="15"/>
      <x:c r="V434" s="15"/>
      <x:c r="W434" s="15"/>
      <x:c r="X434" s="15"/>
      <x:c r="Y434" s="15"/>
      <x:c r="Z434" s="14"/>
    </x:row>
    <x:row r="435" ht="14.399999618530273" customHeight="1">
      <x:c r="A435" s="14"/>
      <x:c r="B435" s="14"/>
      <x:c r="C435" s="14"/>
      <x:c r="D435" s="14"/>
      <x:c r="E435" s="14"/>
      <x:c r="F435" s="14"/>
      <x:c r="G435" s="14"/>
      <x:c r="H435" s="14"/>
      <x:c r="I435" s="14"/>
      <x:c r="J435" s="14"/>
      <x:c r="K435" s="14"/>
      <x:c r="L435" s="14"/>
      <x:c r="M435" s="14"/>
      <x:c r="N435" s="93" t="n">
        <x:f>'Registro de vuelos'!A436</x:f>
        <x:v>0</x:v>
      </x:c>
      <x:c r="O435" s="15" t="n">
        <x:f>'Registro de vuelos'!C436</x:f>
        <x:v>0</x:v>
      </x:c>
      <x:c r="P435" s="15" t="n">
        <x:f>'Registro de vuelos'!E436</x:f>
        <x:v>0</x:v>
      </x:c>
      <x:c r="Q435" s="21" t="n">
        <x:f>'Registro de vuelos'!F436</x:f>
        <x:v>0</x:v>
      </x:c>
      <x:c r="R435" s="21" t="str">
        <x:f>IF(N435="","",IF(AND(COUNTIFS($N$3:$N$502,N435,$O$3:$O$502,O435,$P$3:$P$502,P435,$Q$3:$Q$502,"&gt;"&amp;Q435)=0,COUNTIFS($N$3:N435,N435,$O$3:O435,O435,$P$3:P435,P435,$Q$3:Q435,Q435)=1),1,0))</x:f>
      </x:c>
      <x:c r="S435" s="21" t="n">
        <x:f t="shared" si="8">IF(R435=1,Q435,0)</x:f>
        <x:v>0</x:v>
      </x:c>
      <x:c r="T435" s="15"/>
      <x:c r="U435" s="15"/>
      <x:c r="V435" s="15"/>
      <x:c r="W435" s="15"/>
      <x:c r="X435" s="15"/>
      <x:c r="Y435" s="15"/>
      <x:c r="Z435" s="14"/>
    </x:row>
    <x:row r="436" ht="14.399999618530273" customHeight="1">
      <x:c r="A436" s="14"/>
      <x:c r="B436" s="14"/>
      <x:c r="C436" s="14"/>
      <x:c r="D436" s="14"/>
      <x:c r="E436" s="14"/>
      <x:c r="F436" s="14"/>
      <x:c r="G436" s="14"/>
      <x:c r="H436" s="14"/>
      <x:c r="I436" s="14"/>
      <x:c r="J436" s="14"/>
      <x:c r="K436" s="14"/>
      <x:c r="L436" s="14"/>
      <x:c r="M436" s="14"/>
      <x:c r="N436" s="93" t="n">
        <x:f>'Registro de vuelos'!A437</x:f>
        <x:v>0</x:v>
      </x:c>
      <x:c r="O436" s="15" t="n">
        <x:f>'Registro de vuelos'!C437</x:f>
        <x:v>0</x:v>
      </x:c>
      <x:c r="P436" s="15" t="n">
        <x:f>'Registro de vuelos'!E437</x:f>
        <x:v>0</x:v>
      </x:c>
      <x:c r="Q436" s="21" t="n">
        <x:f>'Registro de vuelos'!F437</x:f>
        <x:v>0</x:v>
      </x:c>
      <x:c r="R436" s="21" t="str">
        <x:f>IF(N436="","",IF(AND(COUNTIFS($N$3:$N$502,N436,$O$3:$O$502,O436,$P$3:$P$502,P436,$Q$3:$Q$502,"&gt;"&amp;Q436)=0,COUNTIFS($N$3:N436,N436,$O$3:O436,O436,$P$3:P436,P436,$Q$3:Q436,Q436)=1),1,0))</x:f>
      </x:c>
      <x:c r="S436" s="21" t="n">
        <x:f t="shared" si="8">IF(R436=1,Q436,0)</x:f>
        <x:v>0</x:v>
      </x:c>
      <x:c r="T436" s="15"/>
      <x:c r="U436" s="15"/>
      <x:c r="V436" s="15"/>
      <x:c r="W436" s="15"/>
      <x:c r="X436" s="15"/>
      <x:c r="Y436" s="15"/>
      <x:c r="Z436" s="14"/>
    </x:row>
    <x:row r="437" ht="14.399999618530273" customHeight="1">
      <x:c r="A437" s="14"/>
      <x:c r="B437" s="14"/>
      <x:c r="C437" s="14"/>
      <x:c r="D437" s="14"/>
      <x:c r="E437" s="14"/>
      <x:c r="F437" s="14"/>
      <x:c r="G437" s="14"/>
      <x:c r="H437" s="14"/>
      <x:c r="I437" s="14"/>
      <x:c r="J437" s="14"/>
      <x:c r="K437" s="14"/>
      <x:c r="L437" s="14"/>
      <x:c r="M437" s="14"/>
      <x:c r="N437" s="93" t="n">
        <x:f>'Registro de vuelos'!A438</x:f>
        <x:v>0</x:v>
      </x:c>
      <x:c r="O437" s="15" t="n">
        <x:f>'Registro de vuelos'!C438</x:f>
        <x:v>0</x:v>
      </x:c>
      <x:c r="P437" s="15" t="n">
        <x:f>'Registro de vuelos'!E438</x:f>
        <x:v>0</x:v>
      </x:c>
      <x:c r="Q437" s="21" t="n">
        <x:f>'Registro de vuelos'!F438</x:f>
        <x:v>0</x:v>
      </x:c>
      <x:c r="R437" s="21" t="str">
        <x:f>IF(N437="","",IF(AND(COUNTIFS($N$3:$N$502,N437,$O$3:$O$502,O437,$P$3:$P$502,P437,$Q$3:$Q$502,"&gt;"&amp;Q437)=0,COUNTIFS($N$3:N437,N437,$O$3:O437,O437,$P$3:P437,P437,$Q$3:Q437,Q437)=1),1,0))</x:f>
      </x:c>
      <x:c r="S437" s="21" t="n">
        <x:f t="shared" si="8">IF(R437=1,Q437,0)</x:f>
        <x:v>0</x:v>
      </x:c>
      <x:c r="T437" s="15"/>
      <x:c r="U437" s="15"/>
      <x:c r="V437" s="15"/>
      <x:c r="W437" s="15"/>
      <x:c r="X437" s="15"/>
      <x:c r="Y437" s="15"/>
      <x:c r="Z437" s="14"/>
    </x:row>
    <x:row r="438" ht="14.399999618530273" customHeight="1">
      <x:c r="A438" s="14"/>
      <x:c r="B438" s="14"/>
      <x:c r="C438" s="14"/>
      <x:c r="D438" s="14"/>
      <x:c r="E438" s="14"/>
      <x:c r="F438" s="14"/>
      <x:c r="G438" s="14"/>
      <x:c r="H438" s="14"/>
      <x:c r="I438" s="14"/>
      <x:c r="J438" s="14"/>
      <x:c r="K438" s="14"/>
      <x:c r="L438" s="14"/>
      <x:c r="M438" s="14"/>
      <x:c r="N438" s="93" t="n">
        <x:f>'Registro de vuelos'!A439</x:f>
        <x:v>0</x:v>
      </x:c>
      <x:c r="O438" s="15" t="n">
        <x:f>'Registro de vuelos'!C439</x:f>
        <x:v>0</x:v>
      </x:c>
      <x:c r="P438" s="15" t="n">
        <x:f>'Registro de vuelos'!E439</x:f>
        <x:v>0</x:v>
      </x:c>
      <x:c r="Q438" s="21" t="n">
        <x:f>'Registro de vuelos'!F439</x:f>
        <x:v>0</x:v>
      </x:c>
      <x:c r="R438" s="21" t="str">
        <x:f>IF(N438="","",IF(AND(COUNTIFS($N$3:$N$502,N438,$O$3:$O$502,O438,$P$3:$P$502,P438,$Q$3:$Q$502,"&gt;"&amp;Q438)=0,COUNTIFS($N$3:N438,N438,$O$3:O438,O438,$P$3:P438,P438,$Q$3:Q438,Q438)=1),1,0))</x:f>
      </x:c>
      <x:c r="S438" s="21" t="n">
        <x:f t="shared" si="8">IF(R438=1,Q438,0)</x:f>
        <x:v>0</x:v>
      </x:c>
      <x:c r="T438" s="15"/>
      <x:c r="U438" s="15"/>
      <x:c r="V438" s="15"/>
      <x:c r="W438" s="15"/>
      <x:c r="X438" s="15"/>
      <x:c r="Y438" s="15"/>
      <x:c r="Z438" s="14"/>
    </x:row>
    <x:row r="439" ht="14.399999618530273" customHeight="1">
      <x:c r="A439" s="14"/>
      <x:c r="B439" s="14"/>
      <x:c r="C439" s="14"/>
      <x:c r="D439" s="14"/>
      <x:c r="E439" s="14"/>
      <x:c r="F439" s="14"/>
      <x:c r="G439" s="14"/>
      <x:c r="H439" s="14"/>
      <x:c r="I439" s="14"/>
      <x:c r="J439" s="14"/>
      <x:c r="K439" s="14"/>
      <x:c r="L439" s="14"/>
      <x:c r="M439" s="14"/>
      <x:c r="N439" s="93" t="n">
        <x:f>'Registro de vuelos'!A440</x:f>
        <x:v>0</x:v>
      </x:c>
      <x:c r="O439" s="15" t="n">
        <x:f>'Registro de vuelos'!C440</x:f>
        <x:v>0</x:v>
      </x:c>
      <x:c r="P439" s="15" t="n">
        <x:f>'Registro de vuelos'!E440</x:f>
        <x:v>0</x:v>
      </x:c>
      <x:c r="Q439" s="21" t="n">
        <x:f>'Registro de vuelos'!F440</x:f>
        <x:v>0</x:v>
      </x:c>
      <x:c r="R439" s="21" t="str">
        <x:f>IF(N439="","",IF(AND(COUNTIFS($N$3:$N$502,N439,$O$3:$O$502,O439,$P$3:$P$502,P439,$Q$3:$Q$502,"&gt;"&amp;Q439)=0,COUNTIFS($N$3:N439,N439,$O$3:O439,O439,$P$3:P439,P439,$Q$3:Q439,Q439)=1),1,0))</x:f>
      </x:c>
      <x:c r="S439" s="21" t="n">
        <x:f t="shared" si="8">IF(R439=1,Q439,0)</x:f>
        <x:v>0</x:v>
      </x:c>
      <x:c r="T439" s="15"/>
      <x:c r="U439" s="15"/>
      <x:c r="V439" s="15"/>
      <x:c r="W439" s="15"/>
      <x:c r="X439" s="15"/>
      <x:c r="Y439" s="15"/>
      <x:c r="Z439" s="14"/>
    </x:row>
    <x:row r="440" ht="14.399999618530273" customHeight="1">
      <x:c r="A440" s="14"/>
      <x:c r="B440" s="14"/>
      <x:c r="C440" s="14"/>
      <x:c r="D440" s="14"/>
      <x:c r="E440" s="14"/>
      <x:c r="F440" s="14"/>
      <x:c r="G440" s="14"/>
      <x:c r="H440" s="14"/>
      <x:c r="I440" s="14"/>
      <x:c r="J440" s="14"/>
      <x:c r="K440" s="14"/>
      <x:c r="L440" s="14"/>
      <x:c r="M440" s="14"/>
      <x:c r="N440" s="93" t="n">
        <x:f>'Registro de vuelos'!A441</x:f>
        <x:v>0</x:v>
      </x:c>
      <x:c r="O440" s="15" t="n">
        <x:f>'Registro de vuelos'!C441</x:f>
        <x:v>0</x:v>
      </x:c>
      <x:c r="P440" s="15" t="n">
        <x:f>'Registro de vuelos'!E441</x:f>
        <x:v>0</x:v>
      </x:c>
      <x:c r="Q440" s="21" t="n">
        <x:f>'Registro de vuelos'!F441</x:f>
        <x:v>0</x:v>
      </x:c>
      <x:c r="R440" s="21" t="str">
        <x:f>IF(N440="","",IF(AND(COUNTIFS($N$3:$N$502,N440,$O$3:$O$502,O440,$P$3:$P$502,P440,$Q$3:$Q$502,"&gt;"&amp;Q440)=0,COUNTIFS($N$3:N440,N440,$O$3:O440,O440,$P$3:P440,P440,$Q$3:Q440,Q440)=1),1,0))</x:f>
      </x:c>
      <x:c r="S440" s="21" t="n">
        <x:f t="shared" si="8">IF(R440=1,Q440,0)</x:f>
        <x:v>0</x:v>
      </x:c>
      <x:c r="T440" s="15"/>
      <x:c r="U440" s="15"/>
      <x:c r="V440" s="15"/>
      <x:c r="W440" s="15"/>
      <x:c r="X440" s="15"/>
      <x:c r="Y440" s="15"/>
      <x:c r="Z440" s="14"/>
    </x:row>
    <x:row r="441" ht="14.399999618530273" customHeight="1">
      <x:c r="A441" s="14"/>
      <x:c r="B441" s="14"/>
      <x:c r="C441" s="14"/>
      <x:c r="D441" s="14"/>
      <x:c r="E441" s="14"/>
      <x:c r="F441" s="14"/>
      <x:c r="G441" s="14"/>
      <x:c r="H441" s="14"/>
      <x:c r="I441" s="14"/>
      <x:c r="J441" s="14"/>
      <x:c r="K441" s="14"/>
      <x:c r="L441" s="14"/>
      <x:c r="M441" s="14"/>
      <x:c r="N441" s="93" t="n">
        <x:f>'Registro de vuelos'!A442</x:f>
        <x:v>0</x:v>
      </x:c>
      <x:c r="O441" s="15" t="n">
        <x:f>'Registro de vuelos'!C442</x:f>
        <x:v>0</x:v>
      </x:c>
      <x:c r="P441" s="15" t="n">
        <x:f>'Registro de vuelos'!E442</x:f>
        <x:v>0</x:v>
      </x:c>
      <x:c r="Q441" s="21" t="n">
        <x:f>'Registro de vuelos'!F442</x:f>
        <x:v>0</x:v>
      </x:c>
      <x:c r="R441" s="21" t="str">
        <x:f>IF(N441="","",IF(AND(COUNTIFS($N$3:$N$502,N441,$O$3:$O$502,O441,$P$3:$P$502,P441,$Q$3:$Q$502,"&gt;"&amp;Q441)=0,COUNTIFS($N$3:N441,N441,$O$3:O441,O441,$P$3:P441,P441,$Q$3:Q441,Q441)=1),1,0))</x:f>
      </x:c>
      <x:c r="S441" s="21" t="n">
        <x:f t="shared" si="8">IF(R441=1,Q441,0)</x:f>
        <x:v>0</x:v>
      </x:c>
      <x:c r="T441" s="15"/>
      <x:c r="U441" s="15"/>
      <x:c r="V441" s="15"/>
      <x:c r="W441" s="15"/>
      <x:c r="X441" s="15"/>
      <x:c r="Y441" s="15"/>
      <x:c r="Z441" s="14"/>
    </x:row>
    <x:row r="442" ht="14.399999618530273" customHeight="1">
      <x:c r="A442" s="14"/>
      <x:c r="B442" s="14"/>
      <x:c r="C442" s="14"/>
      <x:c r="D442" s="14"/>
      <x:c r="E442" s="14"/>
      <x:c r="F442" s="14"/>
      <x:c r="G442" s="14"/>
      <x:c r="H442" s="14"/>
      <x:c r="I442" s="14"/>
      <x:c r="J442" s="14"/>
      <x:c r="K442" s="14"/>
      <x:c r="L442" s="14"/>
      <x:c r="M442" s="14"/>
      <x:c r="N442" s="93" t="n">
        <x:f>'Registro de vuelos'!A443</x:f>
        <x:v>0</x:v>
      </x:c>
      <x:c r="O442" s="15" t="n">
        <x:f>'Registro de vuelos'!C443</x:f>
        <x:v>0</x:v>
      </x:c>
      <x:c r="P442" s="15" t="n">
        <x:f>'Registro de vuelos'!E443</x:f>
        <x:v>0</x:v>
      </x:c>
      <x:c r="Q442" s="21" t="n">
        <x:f>'Registro de vuelos'!F443</x:f>
        <x:v>0</x:v>
      </x:c>
      <x:c r="R442" s="21" t="str">
        <x:f>IF(N442="","",IF(AND(COUNTIFS($N$3:$N$502,N442,$O$3:$O$502,O442,$P$3:$P$502,P442,$Q$3:$Q$502,"&gt;"&amp;Q442)=0,COUNTIFS($N$3:N442,N442,$O$3:O442,O442,$P$3:P442,P442,$Q$3:Q442,Q442)=1),1,0))</x:f>
      </x:c>
      <x:c r="S442" s="21" t="n">
        <x:f t="shared" si="8">IF(R442=1,Q442,0)</x:f>
        <x:v>0</x:v>
      </x:c>
      <x:c r="T442" s="15"/>
      <x:c r="U442" s="15"/>
      <x:c r="V442" s="15"/>
      <x:c r="W442" s="15"/>
      <x:c r="X442" s="15"/>
      <x:c r="Y442" s="15"/>
      <x:c r="Z442" s="14"/>
    </x:row>
    <x:row r="443" ht="14.399999618530273" customHeight="1">
      <x:c r="A443" s="14"/>
      <x:c r="B443" s="14"/>
      <x:c r="C443" s="14"/>
      <x:c r="D443" s="14"/>
      <x:c r="E443" s="14"/>
      <x:c r="F443" s="14"/>
      <x:c r="G443" s="14"/>
      <x:c r="H443" s="14"/>
      <x:c r="I443" s="14"/>
      <x:c r="J443" s="14"/>
      <x:c r="K443" s="14"/>
      <x:c r="L443" s="14"/>
      <x:c r="M443" s="14"/>
      <x:c r="N443" s="93" t="n">
        <x:f>'Registro de vuelos'!A444</x:f>
        <x:v>0</x:v>
      </x:c>
      <x:c r="O443" s="15" t="n">
        <x:f>'Registro de vuelos'!C444</x:f>
        <x:v>0</x:v>
      </x:c>
      <x:c r="P443" s="15" t="n">
        <x:f>'Registro de vuelos'!E444</x:f>
        <x:v>0</x:v>
      </x:c>
      <x:c r="Q443" s="21" t="n">
        <x:f>'Registro de vuelos'!F444</x:f>
        <x:v>0</x:v>
      </x:c>
      <x:c r="R443" s="21" t="str">
        <x:f>IF(N443="","",IF(AND(COUNTIFS($N$3:$N$502,N443,$O$3:$O$502,O443,$P$3:$P$502,P443,$Q$3:$Q$502,"&gt;"&amp;Q443)=0,COUNTIFS($N$3:N443,N443,$O$3:O443,O443,$P$3:P443,P443,$Q$3:Q443,Q443)=1),1,0))</x:f>
      </x:c>
      <x:c r="S443" s="21" t="n">
        <x:f t="shared" si="8">IF(R443=1,Q443,0)</x:f>
        <x:v>0</x:v>
      </x:c>
      <x:c r="T443" s="15"/>
      <x:c r="U443" s="15"/>
      <x:c r="V443" s="15"/>
      <x:c r="W443" s="15"/>
      <x:c r="X443" s="15"/>
      <x:c r="Y443" s="15"/>
      <x:c r="Z443" s="14"/>
    </x:row>
    <x:row r="444" ht="14.399999618530273" customHeight="1">
      <x:c r="A444" s="14"/>
      <x:c r="B444" s="14"/>
      <x:c r="C444" s="14"/>
      <x:c r="D444" s="14"/>
      <x:c r="E444" s="14"/>
      <x:c r="F444" s="14"/>
      <x:c r="G444" s="14"/>
      <x:c r="H444" s="14"/>
      <x:c r="I444" s="14"/>
      <x:c r="J444" s="14"/>
      <x:c r="K444" s="14"/>
      <x:c r="L444" s="14"/>
      <x:c r="M444" s="14"/>
      <x:c r="N444" s="93" t="n">
        <x:f>'Registro de vuelos'!A445</x:f>
        <x:v>0</x:v>
      </x:c>
      <x:c r="O444" s="15" t="n">
        <x:f>'Registro de vuelos'!C445</x:f>
        <x:v>0</x:v>
      </x:c>
      <x:c r="P444" s="15" t="n">
        <x:f>'Registro de vuelos'!E445</x:f>
        <x:v>0</x:v>
      </x:c>
      <x:c r="Q444" s="21" t="n">
        <x:f>'Registro de vuelos'!F445</x:f>
        <x:v>0</x:v>
      </x:c>
      <x:c r="R444" s="21" t="str">
        <x:f>IF(N444="","",IF(AND(COUNTIFS($N$3:$N$502,N444,$O$3:$O$502,O444,$P$3:$P$502,P444,$Q$3:$Q$502,"&gt;"&amp;Q444)=0,COUNTIFS($N$3:N444,N444,$O$3:O444,O444,$P$3:P444,P444,$Q$3:Q444,Q444)=1),1,0))</x:f>
      </x:c>
      <x:c r="S444" s="21" t="n">
        <x:f t="shared" si="8">IF(R444=1,Q444,0)</x:f>
        <x:v>0</x:v>
      </x:c>
      <x:c r="T444" s="15"/>
      <x:c r="U444" s="15"/>
      <x:c r="V444" s="15"/>
      <x:c r="W444" s="15"/>
      <x:c r="X444" s="15"/>
      <x:c r="Y444" s="15"/>
      <x:c r="Z444" s="14"/>
    </x:row>
    <x:row r="445" ht="14.399999618530273" customHeight="1">
      <x:c r="A445" s="14"/>
      <x:c r="B445" s="14"/>
      <x:c r="C445" s="14"/>
      <x:c r="D445" s="14"/>
      <x:c r="E445" s="14"/>
      <x:c r="F445" s="14"/>
      <x:c r="G445" s="14"/>
      <x:c r="H445" s="14"/>
      <x:c r="I445" s="14"/>
      <x:c r="J445" s="14"/>
      <x:c r="K445" s="14"/>
      <x:c r="L445" s="14"/>
      <x:c r="M445" s="14"/>
      <x:c r="N445" s="93" t="n">
        <x:f>'Registro de vuelos'!A446</x:f>
        <x:v>0</x:v>
      </x:c>
      <x:c r="O445" s="15" t="n">
        <x:f>'Registro de vuelos'!C446</x:f>
        <x:v>0</x:v>
      </x:c>
      <x:c r="P445" s="15" t="n">
        <x:f>'Registro de vuelos'!E446</x:f>
        <x:v>0</x:v>
      </x:c>
      <x:c r="Q445" s="21" t="n">
        <x:f>'Registro de vuelos'!F446</x:f>
        <x:v>0</x:v>
      </x:c>
      <x:c r="R445" s="21" t="str">
        <x:f>IF(N445="","",IF(AND(COUNTIFS($N$3:$N$502,N445,$O$3:$O$502,O445,$P$3:$P$502,P445,$Q$3:$Q$502,"&gt;"&amp;Q445)=0,COUNTIFS($N$3:N445,N445,$O$3:O445,O445,$P$3:P445,P445,$Q$3:Q445,Q445)=1),1,0))</x:f>
      </x:c>
      <x:c r="S445" s="21" t="n">
        <x:f t="shared" si="8">IF(R445=1,Q445,0)</x:f>
        <x:v>0</x:v>
      </x:c>
      <x:c r="T445" s="15"/>
      <x:c r="U445" s="15"/>
      <x:c r="V445" s="15"/>
      <x:c r="W445" s="15"/>
      <x:c r="X445" s="15"/>
      <x:c r="Y445" s="15"/>
      <x:c r="Z445" s="14"/>
    </x:row>
    <x:row r="446" ht="14.399999618530273" customHeight="1">
      <x:c r="A446" s="14"/>
      <x:c r="B446" s="14"/>
      <x:c r="C446" s="14"/>
      <x:c r="D446" s="14"/>
      <x:c r="E446" s="14"/>
      <x:c r="F446" s="14"/>
      <x:c r="G446" s="14"/>
      <x:c r="H446" s="14"/>
      <x:c r="I446" s="14"/>
      <x:c r="J446" s="14"/>
      <x:c r="K446" s="14"/>
      <x:c r="L446" s="14"/>
      <x:c r="M446" s="14"/>
      <x:c r="N446" s="93" t="n">
        <x:f>'Registro de vuelos'!A447</x:f>
        <x:v>0</x:v>
      </x:c>
      <x:c r="O446" s="15" t="n">
        <x:f>'Registro de vuelos'!C447</x:f>
        <x:v>0</x:v>
      </x:c>
      <x:c r="P446" s="15" t="n">
        <x:f>'Registro de vuelos'!E447</x:f>
        <x:v>0</x:v>
      </x:c>
      <x:c r="Q446" s="21" t="n">
        <x:f>'Registro de vuelos'!F447</x:f>
        <x:v>0</x:v>
      </x:c>
      <x:c r="R446" s="21" t="str">
        <x:f>IF(N446="","",IF(AND(COUNTIFS($N$3:$N$502,N446,$O$3:$O$502,O446,$P$3:$P$502,P446,$Q$3:$Q$502,"&gt;"&amp;Q446)=0,COUNTIFS($N$3:N446,N446,$O$3:O446,O446,$P$3:P446,P446,$Q$3:Q446,Q446)=1),1,0))</x:f>
      </x:c>
      <x:c r="S446" s="21" t="n">
        <x:f t="shared" si="8">IF(R446=1,Q446,0)</x:f>
        <x:v>0</x:v>
      </x:c>
      <x:c r="T446" s="15"/>
      <x:c r="U446" s="15"/>
      <x:c r="V446" s="15"/>
      <x:c r="W446" s="15"/>
      <x:c r="X446" s="15"/>
      <x:c r="Y446" s="15"/>
      <x:c r="Z446" s="14"/>
    </x:row>
    <x:row r="447" ht="14.399999618530273" customHeight="1">
      <x:c r="A447" s="14"/>
      <x:c r="B447" s="14"/>
      <x:c r="C447" s="14"/>
      <x:c r="D447" s="14"/>
      <x:c r="E447" s="14"/>
      <x:c r="F447" s="14"/>
      <x:c r="G447" s="14"/>
      <x:c r="H447" s="14"/>
      <x:c r="I447" s="14"/>
      <x:c r="J447" s="14"/>
      <x:c r="K447" s="14"/>
      <x:c r="L447" s="14"/>
      <x:c r="M447" s="14"/>
      <x:c r="N447" s="93" t="n">
        <x:f>'Registro de vuelos'!A448</x:f>
        <x:v>0</x:v>
      </x:c>
      <x:c r="O447" s="15" t="n">
        <x:f>'Registro de vuelos'!C448</x:f>
        <x:v>0</x:v>
      </x:c>
      <x:c r="P447" s="15" t="n">
        <x:f>'Registro de vuelos'!E448</x:f>
        <x:v>0</x:v>
      </x:c>
      <x:c r="Q447" s="21" t="n">
        <x:f>'Registro de vuelos'!F448</x:f>
        <x:v>0</x:v>
      </x:c>
      <x:c r="R447" s="21" t="str">
        <x:f>IF(N447="","",IF(AND(COUNTIFS($N$3:$N$502,N447,$O$3:$O$502,O447,$P$3:$P$502,P447,$Q$3:$Q$502,"&gt;"&amp;Q447)=0,COUNTIFS($N$3:N447,N447,$O$3:O447,O447,$P$3:P447,P447,$Q$3:Q447,Q447)=1),1,0))</x:f>
      </x:c>
      <x:c r="S447" s="21" t="n">
        <x:f t="shared" si="8">IF(R447=1,Q447,0)</x:f>
        <x:v>0</x:v>
      </x:c>
      <x:c r="T447" s="15"/>
      <x:c r="U447" s="15"/>
      <x:c r="V447" s="15"/>
      <x:c r="W447" s="15"/>
      <x:c r="X447" s="15"/>
      <x:c r="Y447" s="15"/>
      <x:c r="Z447" s="14"/>
    </x:row>
    <x:row r="448" ht="14.399999618530273" customHeight="1">
      <x:c r="A448" s="14"/>
      <x:c r="B448" s="14"/>
      <x:c r="C448" s="14"/>
      <x:c r="D448" s="14"/>
      <x:c r="E448" s="14"/>
      <x:c r="F448" s="14"/>
      <x:c r="G448" s="14"/>
      <x:c r="H448" s="14"/>
      <x:c r="I448" s="14"/>
      <x:c r="J448" s="14"/>
      <x:c r="K448" s="14"/>
      <x:c r="L448" s="14"/>
      <x:c r="M448" s="14"/>
      <x:c r="N448" s="93" t="n">
        <x:f>'Registro de vuelos'!A449</x:f>
        <x:v>0</x:v>
      </x:c>
      <x:c r="O448" s="15" t="n">
        <x:f>'Registro de vuelos'!C449</x:f>
        <x:v>0</x:v>
      </x:c>
      <x:c r="P448" s="15" t="n">
        <x:f>'Registro de vuelos'!E449</x:f>
        <x:v>0</x:v>
      </x:c>
      <x:c r="Q448" s="21" t="n">
        <x:f>'Registro de vuelos'!F449</x:f>
        <x:v>0</x:v>
      </x:c>
      <x:c r="R448" s="21" t="str">
        <x:f>IF(N448="","",IF(AND(COUNTIFS($N$3:$N$502,N448,$O$3:$O$502,O448,$P$3:$P$502,P448,$Q$3:$Q$502,"&gt;"&amp;Q448)=0,COUNTIFS($N$3:N448,N448,$O$3:O448,O448,$P$3:P448,P448,$Q$3:Q448,Q448)=1),1,0))</x:f>
      </x:c>
      <x:c r="S448" s="21" t="n">
        <x:f t="shared" si="8">IF(R448=1,Q448,0)</x:f>
        <x:v>0</x:v>
      </x:c>
      <x:c r="T448" s="15"/>
      <x:c r="U448" s="15"/>
      <x:c r="V448" s="15"/>
      <x:c r="W448" s="15"/>
      <x:c r="X448" s="15"/>
      <x:c r="Y448" s="15"/>
      <x:c r="Z448" s="14"/>
    </x:row>
    <x:row r="449" ht="14.399999618530273" customHeight="1">
      <x:c r="A449" s="14"/>
      <x:c r="B449" s="14"/>
      <x:c r="C449" s="14"/>
      <x:c r="D449" s="14"/>
      <x:c r="E449" s="14"/>
      <x:c r="F449" s="14"/>
      <x:c r="G449" s="14"/>
      <x:c r="H449" s="14"/>
      <x:c r="I449" s="14"/>
      <x:c r="J449" s="14"/>
      <x:c r="K449" s="14"/>
      <x:c r="L449" s="14"/>
      <x:c r="M449" s="14"/>
      <x:c r="N449" s="93" t="n">
        <x:f>'Registro de vuelos'!A450</x:f>
        <x:v>0</x:v>
      </x:c>
      <x:c r="O449" s="15" t="n">
        <x:f>'Registro de vuelos'!C450</x:f>
        <x:v>0</x:v>
      </x:c>
      <x:c r="P449" s="15" t="n">
        <x:f>'Registro de vuelos'!E450</x:f>
        <x:v>0</x:v>
      </x:c>
      <x:c r="Q449" s="21" t="n">
        <x:f>'Registro de vuelos'!F450</x:f>
        <x:v>0</x:v>
      </x:c>
      <x:c r="R449" s="21" t="str">
        <x:f>IF(N449="","",IF(AND(COUNTIFS($N$3:$N$502,N449,$O$3:$O$502,O449,$P$3:$P$502,P449,$Q$3:$Q$502,"&gt;"&amp;Q449)=0,COUNTIFS($N$3:N449,N449,$O$3:O449,O449,$P$3:P449,P449,$Q$3:Q449,Q449)=1),1,0))</x:f>
      </x:c>
      <x:c r="S449" s="21" t="n">
        <x:f t="shared" si="8">IF(R449=1,Q449,0)</x:f>
        <x:v>0</x:v>
      </x:c>
      <x:c r="T449" s="15"/>
      <x:c r="U449" s="15"/>
      <x:c r="V449" s="15"/>
      <x:c r="W449" s="15"/>
      <x:c r="X449" s="15"/>
      <x:c r="Y449" s="15"/>
      <x:c r="Z449" s="14"/>
    </x:row>
    <x:row r="450" ht="14.399999618530273" customHeight="1">
      <x:c r="A450" s="14"/>
      <x:c r="B450" s="14"/>
      <x:c r="C450" s="14"/>
      <x:c r="D450" s="14"/>
      <x:c r="E450" s="14"/>
      <x:c r="F450" s="14"/>
      <x:c r="G450" s="14"/>
      <x:c r="H450" s="14"/>
      <x:c r="I450" s="14"/>
      <x:c r="J450" s="14"/>
      <x:c r="K450" s="14"/>
      <x:c r="L450" s="14"/>
      <x:c r="M450" s="14"/>
      <x:c r="N450" s="93" t="n">
        <x:f>'Registro de vuelos'!A451</x:f>
        <x:v>0</x:v>
      </x:c>
      <x:c r="O450" s="15" t="n">
        <x:f>'Registro de vuelos'!C451</x:f>
        <x:v>0</x:v>
      </x:c>
      <x:c r="P450" s="15" t="n">
        <x:f>'Registro de vuelos'!E451</x:f>
        <x:v>0</x:v>
      </x:c>
      <x:c r="Q450" s="21" t="n">
        <x:f>'Registro de vuelos'!F451</x:f>
        <x:v>0</x:v>
      </x:c>
      <x:c r="R450" s="21" t="str">
        <x:f>IF(N450="","",IF(AND(COUNTIFS($N$3:$N$502,N450,$O$3:$O$502,O450,$P$3:$P$502,P450,$Q$3:$Q$502,"&gt;"&amp;Q450)=0,COUNTIFS($N$3:N450,N450,$O$3:O450,O450,$P$3:P450,P450,$Q$3:Q450,Q450)=1),1,0))</x:f>
      </x:c>
      <x:c r="S450" s="21" t="n">
        <x:f t="shared" si="8">IF(R450=1,Q450,0)</x:f>
        <x:v>0</x:v>
      </x:c>
      <x:c r="T450" s="15"/>
      <x:c r="U450" s="15"/>
      <x:c r="V450" s="15"/>
      <x:c r="W450" s="15"/>
      <x:c r="X450" s="15"/>
      <x:c r="Y450" s="15"/>
      <x:c r="Z450" s="14"/>
    </x:row>
    <x:row r="451" ht="14.399999618530273" customHeight="1">
      <x:c r="A451" s="14"/>
      <x:c r="B451" s="14"/>
      <x:c r="C451" s="14"/>
      <x:c r="D451" s="14"/>
      <x:c r="E451" s="14"/>
      <x:c r="F451" s="14"/>
      <x:c r="G451" s="14"/>
      <x:c r="H451" s="14"/>
      <x:c r="I451" s="14"/>
      <x:c r="J451" s="14"/>
      <x:c r="K451" s="14"/>
      <x:c r="L451" s="14"/>
      <x:c r="M451" s="14"/>
      <x:c r="N451" s="93" t="n">
        <x:f>'Registro de vuelos'!A452</x:f>
        <x:v>0</x:v>
      </x:c>
      <x:c r="O451" s="15" t="n">
        <x:f>'Registro de vuelos'!C452</x:f>
        <x:v>0</x:v>
      </x:c>
      <x:c r="P451" s="15" t="n">
        <x:f>'Registro de vuelos'!E452</x:f>
        <x:v>0</x:v>
      </x:c>
      <x:c r="Q451" s="21" t="n">
        <x:f>'Registro de vuelos'!F452</x:f>
        <x:v>0</x:v>
      </x:c>
      <x:c r="R451" s="21" t="str">
        <x:f>IF(N451="","",IF(AND(COUNTIFS($N$3:$N$502,N451,$O$3:$O$502,O451,$P$3:$P$502,P451,$Q$3:$Q$502,"&gt;"&amp;Q451)=0,COUNTIFS($N$3:N451,N451,$O$3:O451,O451,$P$3:P451,P451,$Q$3:Q451,Q451)=1),1,0))</x:f>
      </x:c>
      <x:c r="S451" s="21" t="n">
        <x:f t="shared" ref="S451:S502" si="9">IF(R451=1,Q451,0)</x:f>
        <x:v>0</x:v>
      </x:c>
      <x:c r="T451" s="15"/>
      <x:c r="U451" s="15"/>
      <x:c r="V451" s="15"/>
      <x:c r="W451" s="15"/>
      <x:c r="X451" s="15"/>
      <x:c r="Y451" s="15"/>
      <x:c r="Z451" s="14"/>
    </x:row>
    <x:row r="452" ht="14.399999618530273" customHeight="1">
      <x:c r="A452" s="14"/>
      <x:c r="B452" s="14"/>
      <x:c r="C452" s="14"/>
      <x:c r="D452" s="14"/>
      <x:c r="E452" s="14"/>
      <x:c r="F452" s="14"/>
      <x:c r="G452" s="14"/>
      <x:c r="H452" s="14"/>
      <x:c r="I452" s="14"/>
      <x:c r="J452" s="14"/>
      <x:c r="K452" s="14"/>
      <x:c r="L452" s="14"/>
      <x:c r="M452" s="14"/>
      <x:c r="N452" s="93" t="n">
        <x:f>'Registro de vuelos'!A453</x:f>
        <x:v>0</x:v>
      </x:c>
      <x:c r="O452" s="15" t="n">
        <x:f>'Registro de vuelos'!C453</x:f>
        <x:v>0</x:v>
      </x:c>
      <x:c r="P452" s="15" t="n">
        <x:f>'Registro de vuelos'!E453</x:f>
        <x:v>0</x:v>
      </x:c>
      <x:c r="Q452" s="21" t="n">
        <x:f>'Registro de vuelos'!F453</x:f>
        <x:v>0</x:v>
      </x:c>
      <x:c r="R452" s="21" t="str">
        <x:f>IF(N452="","",IF(AND(COUNTIFS($N$3:$N$502,N452,$O$3:$O$502,O452,$P$3:$P$502,P452,$Q$3:$Q$502,"&gt;"&amp;Q452)=0,COUNTIFS($N$3:N452,N452,$O$3:O452,O452,$P$3:P452,P452,$Q$3:Q452,Q452)=1),1,0))</x:f>
      </x:c>
      <x:c r="S452" s="21" t="n">
        <x:f t="shared" si="9">IF(R452=1,Q452,0)</x:f>
        <x:v>0</x:v>
      </x:c>
      <x:c r="T452" s="15"/>
      <x:c r="U452" s="15"/>
      <x:c r="V452" s="15"/>
      <x:c r="W452" s="15"/>
      <x:c r="X452" s="15"/>
      <x:c r="Y452" s="15"/>
      <x:c r="Z452" s="14"/>
    </x:row>
    <x:row r="453" ht="14.399999618530273" customHeight="1">
      <x:c r="A453" s="14"/>
      <x:c r="B453" s="14"/>
      <x:c r="C453" s="14"/>
      <x:c r="D453" s="14"/>
      <x:c r="E453" s="14"/>
      <x:c r="F453" s="14"/>
      <x:c r="G453" s="14"/>
      <x:c r="H453" s="14"/>
      <x:c r="I453" s="14"/>
      <x:c r="J453" s="14"/>
      <x:c r="K453" s="14"/>
      <x:c r="L453" s="14"/>
      <x:c r="M453" s="14"/>
      <x:c r="N453" s="93" t="n">
        <x:f>'Registro de vuelos'!A454</x:f>
        <x:v>0</x:v>
      </x:c>
      <x:c r="O453" s="15" t="n">
        <x:f>'Registro de vuelos'!C454</x:f>
        <x:v>0</x:v>
      </x:c>
      <x:c r="P453" s="15" t="n">
        <x:f>'Registro de vuelos'!E454</x:f>
        <x:v>0</x:v>
      </x:c>
      <x:c r="Q453" s="21" t="n">
        <x:f>'Registro de vuelos'!F454</x:f>
        <x:v>0</x:v>
      </x:c>
      <x:c r="R453" s="21" t="str">
        <x:f>IF(N453="","",IF(AND(COUNTIFS($N$3:$N$502,N453,$O$3:$O$502,O453,$P$3:$P$502,P453,$Q$3:$Q$502,"&gt;"&amp;Q453)=0,COUNTIFS($N$3:N453,N453,$O$3:O453,O453,$P$3:P453,P453,$Q$3:Q453,Q453)=1),1,0))</x:f>
      </x:c>
      <x:c r="S453" s="21" t="n">
        <x:f t="shared" si="9">IF(R453=1,Q453,0)</x:f>
        <x:v>0</x:v>
      </x:c>
      <x:c r="T453" s="15"/>
      <x:c r="U453" s="15"/>
      <x:c r="V453" s="15"/>
      <x:c r="W453" s="15"/>
      <x:c r="X453" s="15"/>
      <x:c r="Y453" s="15"/>
      <x:c r="Z453" s="14"/>
    </x:row>
    <x:row r="454" ht="14.399999618530273" customHeight="1">
      <x:c r="A454" s="14"/>
      <x:c r="B454" s="14"/>
      <x:c r="C454" s="14"/>
      <x:c r="D454" s="14"/>
      <x:c r="E454" s="14"/>
      <x:c r="F454" s="14"/>
      <x:c r="G454" s="14"/>
      <x:c r="H454" s="14"/>
      <x:c r="I454" s="14"/>
      <x:c r="J454" s="14"/>
      <x:c r="K454" s="14"/>
      <x:c r="L454" s="14"/>
      <x:c r="M454" s="14"/>
      <x:c r="N454" s="93" t="n">
        <x:f>'Registro de vuelos'!A455</x:f>
        <x:v>0</x:v>
      </x:c>
      <x:c r="O454" s="15" t="n">
        <x:f>'Registro de vuelos'!C455</x:f>
        <x:v>0</x:v>
      </x:c>
      <x:c r="P454" s="15" t="n">
        <x:f>'Registro de vuelos'!E455</x:f>
        <x:v>0</x:v>
      </x:c>
      <x:c r="Q454" s="21" t="n">
        <x:f>'Registro de vuelos'!F455</x:f>
        <x:v>0</x:v>
      </x:c>
      <x:c r="R454" s="21" t="str">
        <x:f>IF(N454="","",IF(AND(COUNTIFS($N$3:$N$502,N454,$O$3:$O$502,O454,$P$3:$P$502,P454,$Q$3:$Q$502,"&gt;"&amp;Q454)=0,COUNTIFS($N$3:N454,N454,$O$3:O454,O454,$P$3:P454,P454,$Q$3:Q454,Q454)=1),1,0))</x:f>
      </x:c>
      <x:c r="S454" s="21" t="n">
        <x:f t="shared" si="9">IF(R454=1,Q454,0)</x:f>
        <x:v>0</x:v>
      </x:c>
      <x:c r="T454" s="15"/>
      <x:c r="U454" s="15"/>
      <x:c r="V454" s="15"/>
      <x:c r="W454" s="15"/>
      <x:c r="X454" s="15"/>
      <x:c r="Y454" s="15"/>
      <x:c r="Z454" s="14"/>
    </x:row>
    <x:row r="455" ht="14.399999618530273" customHeight="1">
      <x:c r="A455" s="14"/>
      <x:c r="B455" s="14"/>
      <x:c r="C455" s="14"/>
      <x:c r="D455" s="14"/>
      <x:c r="E455" s="14"/>
      <x:c r="F455" s="14"/>
      <x:c r="G455" s="14"/>
      <x:c r="H455" s="14"/>
      <x:c r="I455" s="14"/>
      <x:c r="J455" s="14"/>
      <x:c r="K455" s="14"/>
      <x:c r="L455" s="14"/>
      <x:c r="M455" s="14"/>
      <x:c r="N455" s="93" t="n">
        <x:f>'Registro de vuelos'!A456</x:f>
        <x:v>0</x:v>
      </x:c>
      <x:c r="O455" s="15" t="n">
        <x:f>'Registro de vuelos'!C456</x:f>
        <x:v>0</x:v>
      </x:c>
      <x:c r="P455" s="15" t="n">
        <x:f>'Registro de vuelos'!E456</x:f>
        <x:v>0</x:v>
      </x:c>
      <x:c r="Q455" s="21" t="n">
        <x:f>'Registro de vuelos'!F456</x:f>
        <x:v>0</x:v>
      </x:c>
      <x:c r="R455" s="21" t="str">
        <x:f>IF(N455="","",IF(AND(COUNTIFS($N$3:$N$502,N455,$O$3:$O$502,O455,$P$3:$P$502,P455,$Q$3:$Q$502,"&gt;"&amp;Q455)=0,COUNTIFS($N$3:N455,N455,$O$3:O455,O455,$P$3:P455,P455,$Q$3:Q455,Q455)=1),1,0))</x:f>
      </x:c>
      <x:c r="S455" s="21" t="n">
        <x:f t="shared" si="9">IF(R455=1,Q455,0)</x:f>
        <x:v>0</x:v>
      </x:c>
      <x:c r="T455" s="15"/>
      <x:c r="U455" s="15"/>
      <x:c r="V455" s="15"/>
      <x:c r="W455" s="15"/>
      <x:c r="X455" s="15"/>
      <x:c r="Y455" s="15"/>
      <x:c r="Z455" s="14"/>
    </x:row>
    <x:row r="456" ht="14.399999618530273" customHeight="1">
      <x:c r="A456" s="14"/>
      <x:c r="B456" s="14"/>
      <x:c r="C456" s="14"/>
      <x:c r="D456" s="14"/>
      <x:c r="E456" s="14"/>
      <x:c r="F456" s="14"/>
      <x:c r="G456" s="14"/>
      <x:c r="H456" s="14"/>
      <x:c r="I456" s="14"/>
      <x:c r="J456" s="14"/>
      <x:c r="K456" s="14"/>
      <x:c r="L456" s="14"/>
      <x:c r="M456" s="14"/>
      <x:c r="N456" s="93" t="n">
        <x:f>'Registro de vuelos'!A457</x:f>
        <x:v>0</x:v>
      </x:c>
      <x:c r="O456" s="15" t="n">
        <x:f>'Registro de vuelos'!C457</x:f>
        <x:v>0</x:v>
      </x:c>
      <x:c r="P456" s="15" t="n">
        <x:f>'Registro de vuelos'!E457</x:f>
        <x:v>0</x:v>
      </x:c>
      <x:c r="Q456" s="21" t="n">
        <x:f>'Registro de vuelos'!F457</x:f>
        <x:v>0</x:v>
      </x:c>
      <x:c r="R456" s="21" t="str">
        <x:f>IF(N456="","",IF(AND(COUNTIFS($N$3:$N$502,N456,$O$3:$O$502,O456,$P$3:$P$502,P456,$Q$3:$Q$502,"&gt;"&amp;Q456)=0,COUNTIFS($N$3:N456,N456,$O$3:O456,O456,$P$3:P456,P456,$Q$3:Q456,Q456)=1),1,0))</x:f>
      </x:c>
      <x:c r="S456" s="21" t="n">
        <x:f t="shared" si="9">IF(R456=1,Q456,0)</x:f>
        <x:v>0</x:v>
      </x:c>
      <x:c r="T456" s="15"/>
      <x:c r="U456" s="15"/>
      <x:c r="V456" s="15"/>
      <x:c r="W456" s="15"/>
      <x:c r="X456" s="15"/>
      <x:c r="Y456" s="15"/>
      <x:c r="Z456" s="14"/>
    </x:row>
    <x:row r="457" ht="14.399999618530273" customHeight="1">
      <x:c r="A457" s="14"/>
      <x:c r="B457" s="14"/>
      <x:c r="C457" s="14"/>
      <x:c r="D457" s="14"/>
      <x:c r="E457" s="14"/>
      <x:c r="F457" s="14"/>
      <x:c r="G457" s="14"/>
      <x:c r="H457" s="14"/>
      <x:c r="I457" s="14"/>
      <x:c r="J457" s="14"/>
      <x:c r="K457" s="14"/>
      <x:c r="L457" s="14"/>
      <x:c r="M457" s="14"/>
      <x:c r="N457" s="93" t="n">
        <x:f>'Registro de vuelos'!A458</x:f>
        <x:v>0</x:v>
      </x:c>
      <x:c r="O457" s="15" t="n">
        <x:f>'Registro de vuelos'!C458</x:f>
        <x:v>0</x:v>
      </x:c>
      <x:c r="P457" s="15" t="n">
        <x:f>'Registro de vuelos'!E458</x:f>
        <x:v>0</x:v>
      </x:c>
      <x:c r="Q457" s="21" t="n">
        <x:f>'Registro de vuelos'!F458</x:f>
        <x:v>0</x:v>
      </x:c>
      <x:c r="R457" s="21" t="str">
        <x:f>IF(N457="","",IF(AND(COUNTIFS($N$3:$N$502,N457,$O$3:$O$502,O457,$P$3:$P$502,P457,$Q$3:$Q$502,"&gt;"&amp;Q457)=0,COUNTIFS($N$3:N457,N457,$O$3:O457,O457,$P$3:P457,P457,$Q$3:Q457,Q457)=1),1,0))</x:f>
      </x:c>
      <x:c r="S457" s="21" t="n">
        <x:f t="shared" si="9">IF(R457=1,Q457,0)</x:f>
        <x:v>0</x:v>
      </x:c>
      <x:c r="T457" s="15"/>
      <x:c r="U457" s="15"/>
      <x:c r="V457" s="15"/>
      <x:c r="W457" s="15"/>
      <x:c r="X457" s="15"/>
      <x:c r="Y457" s="15"/>
      <x:c r="Z457" s="14"/>
    </x:row>
    <x:row r="458" ht="14.399999618530273" customHeight="1">
      <x:c r="A458" s="14"/>
      <x:c r="B458" s="14"/>
      <x:c r="C458" s="14"/>
      <x:c r="D458" s="14"/>
      <x:c r="E458" s="14"/>
      <x:c r="F458" s="14"/>
      <x:c r="G458" s="14"/>
      <x:c r="H458" s="14"/>
      <x:c r="I458" s="14"/>
      <x:c r="J458" s="14"/>
      <x:c r="K458" s="14"/>
      <x:c r="L458" s="14"/>
      <x:c r="M458" s="14"/>
      <x:c r="N458" s="93" t="n">
        <x:f>'Registro de vuelos'!A459</x:f>
        <x:v>0</x:v>
      </x:c>
      <x:c r="O458" s="15" t="n">
        <x:f>'Registro de vuelos'!C459</x:f>
        <x:v>0</x:v>
      </x:c>
      <x:c r="P458" s="15" t="n">
        <x:f>'Registro de vuelos'!E459</x:f>
        <x:v>0</x:v>
      </x:c>
      <x:c r="Q458" s="21" t="n">
        <x:f>'Registro de vuelos'!F459</x:f>
        <x:v>0</x:v>
      </x:c>
      <x:c r="R458" s="21" t="str">
        <x:f>IF(N458="","",IF(AND(COUNTIFS($N$3:$N$502,N458,$O$3:$O$502,O458,$P$3:$P$502,P458,$Q$3:$Q$502,"&gt;"&amp;Q458)=0,COUNTIFS($N$3:N458,N458,$O$3:O458,O458,$P$3:P458,P458,$Q$3:Q458,Q458)=1),1,0))</x:f>
      </x:c>
      <x:c r="S458" s="21" t="n">
        <x:f t="shared" si="9">IF(R458=1,Q458,0)</x:f>
        <x:v>0</x:v>
      </x:c>
      <x:c r="T458" s="15"/>
      <x:c r="U458" s="15"/>
      <x:c r="V458" s="15"/>
      <x:c r="W458" s="15"/>
      <x:c r="X458" s="15"/>
      <x:c r="Y458" s="15"/>
      <x:c r="Z458" s="14"/>
    </x:row>
    <x:row r="459" ht="14.399999618530273" customHeight="1">
      <x:c r="A459" s="14"/>
      <x:c r="B459" s="14"/>
      <x:c r="C459" s="14"/>
      <x:c r="D459" s="14"/>
      <x:c r="E459" s="14"/>
      <x:c r="F459" s="14"/>
      <x:c r="G459" s="14"/>
      <x:c r="H459" s="14"/>
      <x:c r="I459" s="14"/>
      <x:c r="J459" s="14"/>
      <x:c r="K459" s="14"/>
      <x:c r="L459" s="14"/>
      <x:c r="M459" s="14"/>
      <x:c r="N459" s="93" t="n">
        <x:f>'Registro de vuelos'!A460</x:f>
        <x:v>0</x:v>
      </x:c>
      <x:c r="O459" s="15" t="n">
        <x:f>'Registro de vuelos'!C460</x:f>
        <x:v>0</x:v>
      </x:c>
      <x:c r="P459" s="15" t="n">
        <x:f>'Registro de vuelos'!E460</x:f>
        <x:v>0</x:v>
      </x:c>
      <x:c r="Q459" s="21" t="n">
        <x:f>'Registro de vuelos'!F460</x:f>
        <x:v>0</x:v>
      </x:c>
      <x:c r="R459" s="21" t="str">
        <x:f>IF(N459="","",IF(AND(COUNTIFS($N$3:$N$502,N459,$O$3:$O$502,O459,$P$3:$P$502,P459,$Q$3:$Q$502,"&gt;"&amp;Q459)=0,COUNTIFS($N$3:N459,N459,$O$3:O459,O459,$P$3:P459,P459,$Q$3:Q459,Q459)=1),1,0))</x:f>
      </x:c>
      <x:c r="S459" s="21" t="n">
        <x:f t="shared" si="9">IF(R459=1,Q459,0)</x:f>
        <x:v>0</x:v>
      </x:c>
      <x:c r="T459" s="15"/>
      <x:c r="U459" s="15"/>
      <x:c r="V459" s="15"/>
      <x:c r="W459" s="15"/>
      <x:c r="X459" s="15"/>
      <x:c r="Y459" s="15"/>
      <x:c r="Z459" s="14"/>
    </x:row>
    <x:row r="460" ht="14.399999618530273" customHeight="1">
      <x:c r="A460" s="14"/>
      <x:c r="B460" s="14"/>
      <x:c r="C460" s="14"/>
      <x:c r="D460" s="14"/>
      <x:c r="E460" s="14"/>
      <x:c r="F460" s="14"/>
      <x:c r="G460" s="14"/>
      <x:c r="H460" s="14"/>
      <x:c r="I460" s="14"/>
      <x:c r="J460" s="14"/>
      <x:c r="K460" s="14"/>
      <x:c r="L460" s="14"/>
      <x:c r="M460" s="14"/>
      <x:c r="N460" s="93" t="n">
        <x:f>'Registro de vuelos'!A461</x:f>
        <x:v>0</x:v>
      </x:c>
      <x:c r="O460" s="15" t="n">
        <x:f>'Registro de vuelos'!C461</x:f>
        <x:v>0</x:v>
      </x:c>
      <x:c r="P460" s="15" t="n">
        <x:f>'Registro de vuelos'!E461</x:f>
        <x:v>0</x:v>
      </x:c>
      <x:c r="Q460" s="21" t="n">
        <x:f>'Registro de vuelos'!F461</x:f>
        <x:v>0</x:v>
      </x:c>
      <x:c r="R460" s="21" t="str">
        <x:f>IF(N460="","",IF(AND(COUNTIFS($N$3:$N$502,N460,$O$3:$O$502,O460,$P$3:$P$502,P460,$Q$3:$Q$502,"&gt;"&amp;Q460)=0,COUNTIFS($N$3:N460,N460,$O$3:O460,O460,$P$3:P460,P460,$Q$3:Q460,Q460)=1),1,0))</x:f>
      </x:c>
      <x:c r="S460" s="21" t="n">
        <x:f t="shared" si="9">IF(R460=1,Q460,0)</x:f>
        <x:v>0</x:v>
      </x:c>
      <x:c r="T460" s="15"/>
      <x:c r="U460" s="15"/>
      <x:c r="V460" s="15"/>
      <x:c r="W460" s="15"/>
      <x:c r="X460" s="15"/>
      <x:c r="Y460" s="15"/>
      <x:c r="Z460" s="14"/>
    </x:row>
    <x:row r="461" ht="14.399999618530273" customHeight="1">
      <x:c r="A461" s="14"/>
      <x:c r="B461" s="14"/>
      <x:c r="C461" s="14"/>
      <x:c r="D461" s="14"/>
      <x:c r="E461" s="14"/>
      <x:c r="F461" s="14"/>
      <x:c r="G461" s="14"/>
      <x:c r="H461" s="14"/>
      <x:c r="I461" s="14"/>
      <x:c r="J461" s="14"/>
      <x:c r="K461" s="14"/>
      <x:c r="L461" s="14"/>
      <x:c r="M461" s="14"/>
      <x:c r="N461" s="93" t="n">
        <x:f>'Registro de vuelos'!A462</x:f>
        <x:v>0</x:v>
      </x:c>
      <x:c r="O461" s="15" t="n">
        <x:f>'Registro de vuelos'!C462</x:f>
        <x:v>0</x:v>
      </x:c>
      <x:c r="P461" s="15" t="n">
        <x:f>'Registro de vuelos'!E462</x:f>
        <x:v>0</x:v>
      </x:c>
      <x:c r="Q461" s="21" t="n">
        <x:f>'Registro de vuelos'!F462</x:f>
        <x:v>0</x:v>
      </x:c>
      <x:c r="R461" s="21" t="str">
        <x:f>IF(N461="","",IF(AND(COUNTIFS($N$3:$N$502,N461,$O$3:$O$502,O461,$P$3:$P$502,P461,$Q$3:$Q$502,"&gt;"&amp;Q461)=0,COUNTIFS($N$3:N461,N461,$O$3:O461,O461,$P$3:P461,P461,$Q$3:Q461,Q461)=1),1,0))</x:f>
      </x:c>
      <x:c r="S461" s="21" t="n">
        <x:f t="shared" si="9">IF(R461=1,Q461,0)</x:f>
        <x:v>0</x:v>
      </x:c>
      <x:c r="T461" s="15"/>
      <x:c r="U461" s="15"/>
      <x:c r="V461" s="15"/>
      <x:c r="W461" s="15"/>
      <x:c r="X461" s="15"/>
      <x:c r="Y461" s="15"/>
      <x:c r="Z461" s="14"/>
    </x:row>
    <x:row r="462" ht="14.399999618530273" customHeight="1">
      <x:c r="A462" s="14"/>
      <x:c r="B462" s="14"/>
      <x:c r="C462" s="14"/>
      <x:c r="D462" s="14"/>
      <x:c r="E462" s="14"/>
      <x:c r="F462" s="14"/>
      <x:c r="G462" s="14"/>
      <x:c r="H462" s="14"/>
      <x:c r="I462" s="14"/>
      <x:c r="J462" s="14"/>
      <x:c r="K462" s="14"/>
      <x:c r="L462" s="14"/>
      <x:c r="M462" s="14"/>
      <x:c r="N462" s="93" t="n">
        <x:f>'Registro de vuelos'!A463</x:f>
        <x:v>0</x:v>
      </x:c>
      <x:c r="O462" s="15" t="n">
        <x:f>'Registro de vuelos'!C463</x:f>
        <x:v>0</x:v>
      </x:c>
      <x:c r="P462" s="15" t="n">
        <x:f>'Registro de vuelos'!E463</x:f>
        <x:v>0</x:v>
      </x:c>
      <x:c r="Q462" s="21" t="n">
        <x:f>'Registro de vuelos'!F463</x:f>
        <x:v>0</x:v>
      </x:c>
      <x:c r="R462" s="21" t="str">
        <x:f>IF(N462="","",IF(AND(COUNTIFS($N$3:$N$502,N462,$O$3:$O$502,O462,$P$3:$P$502,P462,$Q$3:$Q$502,"&gt;"&amp;Q462)=0,COUNTIFS($N$3:N462,N462,$O$3:O462,O462,$P$3:P462,P462,$Q$3:Q462,Q462)=1),1,0))</x:f>
      </x:c>
      <x:c r="S462" s="21" t="n">
        <x:f t="shared" si="9">IF(R462=1,Q462,0)</x:f>
        <x:v>0</x:v>
      </x:c>
      <x:c r="T462" s="15"/>
      <x:c r="U462" s="15"/>
      <x:c r="V462" s="15"/>
      <x:c r="W462" s="15"/>
      <x:c r="X462" s="15"/>
      <x:c r="Y462" s="15"/>
      <x:c r="Z462" s="14"/>
    </x:row>
    <x:row r="463" ht="14.399999618530273" customHeight="1">
      <x:c r="A463" s="14"/>
      <x:c r="B463" s="14"/>
      <x:c r="C463" s="14"/>
      <x:c r="D463" s="14"/>
      <x:c r="E463" s="14"/>
      <x:c r="F463" s="14"/>
      <x:c r="G463" s="14"/>
      <x:c r="H463" s="14"/>
      <x:c r="I463" s="14"/>
      <x:c r="J463" s="14"/>
      <x:c r="K463" s="14"/>
      <x:c r="L463" s="14"/>
      <x:c r="M463" s="14"/>
      <x:c r="N463" s="93" t="n">
        <x:f>'Registro de vuelos'!A464</x:f>
        <x:v>0</x:v>
      </x:c>
      <x:c r="O463" s="15" t="n">
        <x:f>'Registro de vuelos'!C464</x:f>
        <x:v>0</x:v>
      </x:c>
      <x:c r="P463" s="15" t="n">
        <x:f>'Registro de vuelos'!E464</x:f>
        <x:v>0</x:v>
      </x:c>
      <x:c r="Q463" s="21" t="n">
        <x:f>'Registro de vuelos'!F464</x:f>
        <x:v>0</x:v>
      </x:c>
      <x:c r="R463" s="21" t="str">
        <x:f>IF(N463="","",IF(AND(COUNTIFS($N$3:$N$502,N463,$O$3:$O$502,O463,$P$3:$P$502,P463,$Q$3:$Q$502,"&gt;"&amp;Q463)=0,COUNTIFS($N$3:N463,N463,$O$3:O463,O463,$P$3:P463,P463,$Q$3:Q463,Q463)=1),1,0))</x:f>
      </x:c>
      <x:c r="S463" s="21" t="n">
        <x:f t="shared" si="9">IF(R463=1,Q463,0)</x:f>
        <x:v>0</x:v>
      </x:c>
      <x:c r="T463" s="15"/>
      <x:c r="U463" s="15"/>
      <x:c r="V463" s="15"/>
      <x:c r="W463" s="15"/>
      <x:c r="X463" s="15"/>
      <x:c r="Y463" s="15"/>
      <x:c r="Z463" s="14"/>
    </x:row>
    <x:row r="464" ht="14.399999618530273" customHeight="1">
      <x:c r="A464" s="14"/>
      <x:c r="B464" s="14"/>
      <x:c r="C464" s="14"/>
      <x:c r="D464" s="14"/>
      <x:c r="E464" s="14"/>
      <x:c r="F464" s="14"/>
      <x:c r="G464" s="14"/>
      <x:c r="H464" s="14"/>
      <x:c r="I464" s="14"/>
      <x:c r="J464" s="14"/>
      <x:c r="K464" s="14"/>
      <x:c r="L464" s="14"/>
      <x:c r="M464" s="14"/>
      <x:c r="N464" s="93" t="n">
        <x:f>'Registro de vuelos'!A465</x:f>
        <x:v>0</x:v>
      </x:c>
      <x:c r="O464" s="15" t="n">
        <x:f>'Registro de vuelos'!C465</x:f>
        <x:v>0</x:v>
      </x:c>
      <x:c r="P464" s="15" t="n">
        <x:f>'Registro de vuelos'!E465</x:f>
        <x:v>0</x:v>
      </x:c>
      <x:c r="Q464" s="21" t="n">
        <x:f>'Registro de vuelos'!F465</x:f>
        <x:v>0</x:v>
      </x:c>
      <x:c r="R464" s="21" t="str">
        <x:f>IF(N464="","",IF(AND(COUNTIFS($N$3:$N$502,N464,$O$3:$O$502,O464,$P$3:$P$502,P464,$Q$3:$Q$502,"&gt;"&amp;Q464)=0,COUNTIFS($N$3:N464,N464,$O$3:O464,O464,$P$3:P464,P464,$Q$3:Q464,Q464)=1),1,0))</x:f>
      </x:c>
      <x:c r="S464" s="21" t="n">
        <x:f t="shared" si="9">IF(R464=1,Q464,0)</x:f>
        <x:v>0</x:v>
      </x:c>
      <x:c r="T464" s="15"/>
      <x:c r="U464" s="15"/>
      <x:c r="V464" s="15"/>
      <x:c r="W464" s="15"/>
      <x:c r="X464" s="15"/>
      <x:c r="Y464" s="15"/>
      <x:c r="Z464" s="14"/>
    </x:row>
    <x:row r="465" ht="14.399999618530273" customHeight="1">
      <x:c r="A465" s="14"/>
      <x:c r="B465" s="14"/>
      <x:c r="C465" s="14"/>
      <x:c r="D465" s="14"/>
      <x:c r="E465" s="14"/>
      <x:c r="F465" s="14"/>
      <x:c r="G465" s="14"/>
      <x:c r="H465" s="14"/>
      <x:c r="I465" s="14"/>
      <x:c r="J465" s="14"/>
      <x:c r="K465" s="14"/>
      <x:c r="L465" s="14"/>
      <x:c r="M465" s="14"/>
      <x:c r="N465" s="93" t="n">
        <x:f>'Registro de vuelos'!A466</x:f>
        <x:v>0</x:v>
      </x:c>
      <x:c r="O465" s="15" t="n">
        <x:f>'Registro de vuelos'!C466</x:f>
        <x:v>0</x:v>
      </x:c>
      <x:c r="P465" s="15" t="n">
        <x:f>'Registro de vuelos'!E466</x:f>
        <x:v>0</x:v>
      </x:c>
      <x:c r="Q465" s="21" t="n">
        <x:f>'Registro de vuelos'!F466</x:f>
        <x:v>0</x:v>
      </x:c>
      <x:c r="R465" s="21" t="str">
        <x:f>IF(N465="","",IF(AND(COUNTIFS($N$3:$N$502,N465,$O$3:$O$502,O465,$P$3:$P$502,P465,$Q$3:$Q$502,"&gt;"&amp;Q465)=0,COUNTIFS($N$3:N465,N465,$O$3:O465,O465,$P$3:P465,P465,$Q$3:Q465,Q465)=1),1,0))</x:f>
      </x:c>
      <x:c r="S465" s="21" t="n">
        <x:f t="shared" si="9">IF(R465=1,Q465,0)</x:f>
        <x:v>0</x:v>
      </x:c>
      <x:c r="T465" s="15"/>
      <x:c r="U465" s="15"/>
      <x:c r="V465" s="15"/>
      <x:c r="W465" s="15"/>
      <x:c r="X465" s="15"/>
      <x:c r="Y465" s="15"/>
      <x:c r="Z465" s="14"/>
    </x:row>
    <x:row r="466" ht="14.399999618530273" customHeight="1">
      <x:c r="A466" s="14"/>
      <x:c r="B466" s="14"/>
      <x:c r="C466" s="14"/>
      <x:c r="D466" s="14"/>
      <x:c r="E466" s="14"/>
      <x:c r="F466" s="14"/>
      <x:c r="G466" s="14"/>
      <x:c r="H466" s="14"/>
      <x:c r="I466" s="14"/>
      <x:c r="J466" s="14"/>
      <x:c r="K466" s="14"/>
      <x:c r="L466" s="14"/>
      <x:c r="M466" s="14"/>
      <x:c r="N466" s="93" t="n">
        <x:f>'Registro de vuelos'!A467</x:f>
        <x:v>0</x:v>
      </x:c>
      <x:c r="O466" s="15" t="n">
        <x:f>'Registro de vuelos'!C467</x:f>
        <x:v>0</x:v>
      </x:c>
      <x:c r="P466" s="15" t="n">
        <x:f>'Registro de vuelos'!E467</x:f>
        <x:v>0</x:v>
      </x:c>
      <x:c r="Q466" s="21" t="n">
        <x:f>'Registro de vuelos'!F467</x:f>
        <x:v>0</x:v>
      </x:c>
      <x:c r="R466" s="21" t="str">
        <x:f>IF(N466="","",IF(AND(COUNTIFS($N$3:$N$502,N466,$O$3:$O$502,O466,$P$3:$P$502,P466,$Q$3:$Q$502,"&gt;"&amp;Q466)=0,COUNTIFS($N$3:N466,N466,$O$3:O466,O466,$P$3:P466,P466,$Q$3:Q466,Q466)=1),1,0))</x:f>
      </x:c>
      <x:c r="S466" s="21" t="n">
        <x:f t="shared" si="9">IF(R466=1,Q466,0)</x:f>
        <x:v>0</x:v>
      </x:c>
      <x:c r="T466" s="15"/>
      <x:c r="U466" s="15"/>
      <x:c r="V466" s="15"/>
      <x:c r="W466" s="15"/>
      <x:c r="X466" s="15"/>
      <x:c r="Y466" s="15"/>
      <x:c r="Z466" s="14"/>
    </x:row>
    <x:row r="467" ht="14.399999618530273" customHeight="1">
      <x:c r="A467" s="14"/>
      <x:c r="B467" s="14"/>
      <x:c r="C467" s="14"/>
      <x:c r="D467" s="14"/>
      <x:c r="E467" s="14"/>
      <x:c r="F467" s="14"/>
      <x:c r="G467" s="14"/>
      <x:c r="H467" s="14"/>
      <x:c r="I467" s="14"/>
      <x:c r="J467" s="14"/>
      <x:c r="K467" s="14"/>
      <x:c r="L467" s="14"/>
      <x:c r="M467" s="14"/>
      <x:c r="N467" s="93" t="n">
        <x:f>'Registro de vuelos'!A468</x:f>
        <x:v>0</x:v>
      </x:c>
      <x:c r="O467" s="15" t="n">
        <x:f>'Registro de vuelos'!C468</x:f>
        <x:v>0</x:v>
      </x:c>
      <x:c r="P467" s="15" t="n">
        <x:f>'Registro de vuelos'!E468</x:f>
        <x:v>0</x:v>
      </x:c>
      <x:c r="Q467" s="21" t="n">
        <x:f>'Registro de vuelos'!F468</x:f>
        <x:v>0</x:v>
      </x:c>
      <x:c r="R467" s="21" t="str">
        <x:f>IF(N467="","",IF(AND(COUNTIFS($N$3:$N$502,N467,$O$3:$O$502,O467,$P$3:$P$502,P467,$Q$3:$Q$502,"&gt;"&amp;Q467)=0,COUNTIFS($N$3:N467,N467,$O$3:O467,O467,$P$3:P467,P467,$Q$3:Q467,Q467)=1),1,0))</x:f>
      </x:c>
      <x:c r="S467" s="21" t="n">
        <x:f t="shared" si="9">IF(R467=1,Q467,0)</x:f>
        <x:v>0</x:v>
      </x:c>
      <x:c r="T467" s="15"/>
      <x:c r="U467" s="15"/>
      <x:c r="V467" s="15"/>
      <x:c r="W467" s="15"/>
      <x:c r="X467" s="15"/>
      <x:c r="Y467" s="15"/>
      <x:c r="Z467" s="14"/>
    </x:row>
    <x:row r="468" ht="14.399999618530273" customHeight="1">
      <x:c r="A468" s="14"/>
      <x:c r="B468" s="14"/>
      <x:c r="C468" s="14"/>
      <x:c r="D468" s="14"/>
      <x:c r="E468" s="14"/>
      <x:c r="F468" s="14"/>
      <x:c r="G468" s="14"/>
      <x:c r="H468" s="14"/>
      <x:c r="I468" s="14"/>
      <x:c r="J468" s="14"/>
      <x:c r="K468" s="14"/>
      <x:c r="L468" s="14"/>
      <x:c r="M468" s="14"/>
      <x:c r="N468" s="93" t="n">
        <x:f>'Registro de vuelos'!A469</x:f>
        <x:v>0</x:v>
      </x:c>
      <x:c r="O468" s="15" t="n">
        <x:f>'Registro de vuelos'!C469</x:f>
        <x:v>0</x:v>
      </x:c>
      <x:c r="P468" s="15" t="n">
        <x:f>'Registro de vuelos'!E469</x:f>
        <x:v>0</x:v>
      </x:c>
      <x:c r="Q468" s="21" t="n">
        <x:f>'Registro de vuelos'!F469</x:f>
        <x:v>0</x:v>
      </x:c>
      <x:c r="R468" s="21" t="str">
        <x:f>IF(N468="","",IF(AND(COUNTIFS($N$3:$N$502,N468,$O$3:$O$502,O468,$P$3:$P$502,P468,$Q$3:$Q$502,"&gt;"&amp;Q468)=0,COUNTIFS($N$3:N468,N468,$O$3:O468,O468,$P$3:P468,P468,$Q$3:Q468,Q468)=1),1,0))</x:f>
      </x:c>
      <x:c r="S468" s="21" t="n">
        <x:f t="shared" si="9">IF(R468=1,Q468,0)</x:f>
        <x:v>0</x:v>
      </x:c>
      <x:c r="T468" s="15"/>
      <x:c r="U468" s="15"/>
      <x:c r="V468" s="15"/>
      <x:c r="W468" s="15"/>
      <x:c r="X468" s="15"/>
      <x:c r="Y468" s="15"/>
      <x:c r="Z468" s="14"/>
    </x:row>
    <x:row r="469" ht="14.399999618530273" customHeight="1">
      <x:c r="A469" s="14"/>
      <x:c r="B469" s="14"/>
      <x:c r="C469" s="14"/>
      <x:c r="D469" s="14"/>
      <x:c r="E469" s="14"/>
      <x:c r="F469" s="14"/>
      <x:c r="G469" s="14"/>
      <x:c r="H469" s="14"/>
      <x:c r="I469" s="14"/>
      <x:c r="J469" s="14"/>
      <x:c r="K469" s="14"/>
      <x:c r="L469" s="14"/>
      <x:c r="M469" s="14"/>
      <x:c r="N469" s="93" t="n">
        <x:f>'Registro de vuelos'!A470</x:f>
        <x:v>0</x:v>
      </x:c>
      <x:c r="O469" s="15" t="n">
        <x:f>'Registro de vuelos'!C470</x:f>
        <x:v>0</x:v>
      </x:c>
      <x:c r="P469" s="15" t="n">
        <x:f>'Registro de vuelos'!E470</x:f>
        <x:v>0</x:v>
      </x:c>
      <x:c r="Q469" s="21" t="n">
        <x:f>'Registro de vuelos'!F470</x:f>
        <x:v>0</x:v>
      </x:c>
      <x:c r="R469" s="21" t="str">
        <x:f>IF(N469="","",IF(AND(COUNTIFS($N$3:$N$502,N469,$O$3:$O$502,O469,$P$3:$P$502,P469,$Q$3:$Q$502,"&gt;"&amp;Q469)=0,COUNTIFS($N$3:N469,N469,$O$3:O469,O469,$P$3:P469,P469,$Q$3:Q469,Q469)=1),1,0))</x:f>
      </x:c>
      <x:c r="S469" s="21" t="n">
        <x:f t="shared" si="9">IF(R469=1,Q469,0)</x:f>
        <x:v>0</x:v>
      </x:c>
      <x:c r="T469" s="15"/>
      <x:c r="U469" s="15"/>
      <x:c r="V469" s="15"/>
      <x:c r="W469" s="15"/>
      <x:c r="X469" s="15"/>
      <x:c r="Y469" s="15"/>
      <x:c r="Z469" s="14"/>
    </x:row>
    <x:row r="470" ht="14.399999618530273" customHeight="1">
      <x:c r="A470" s="14"/>
      <x:c r="B470" s="14"/>
      <x:c r="C470" s="14"/>
      <x:c r="D470" s="14"/>
      <x:c r="E470" s="14"/>
      <x:c r="F470" s="14"/>
      <x:c r="G470" s="14"/>
      <x:c r="H470" s="14"/>
      <x:c r="I470" s="14"/>
      <x:c r="J470" s="14"/>
      <x:c r="K470" s="14"/>
      <x:c r="L470" s="14"/>
      <x:c r="M470" s="14"/>
      <x:c r="N470" s="93" t="n">
        <x:f>'Registro de vuelos'!A471</x:f>
        <x:v>0</x:v>
      </x:c>
      <x:c r="O470" s="15" t="n">
        <x:f>'Registro de vuelos'!C471</x:f>
        <x:v>0</x:v>
      </x:c>
      <x:c r="P470" s="15" t="n">
        <x:f>'Registro de vuelos'!E471</x:f>
        <x:v>0</x:v>
      </x:c>
      <x:c r="Q470" s="21" t="n">
        <x:f>'Registro de vuelos'!F471</x:f>
        <x:v>0</x:v>
      </x:c>
      <x:c r="R470" s="21" t="str">
        <x:f>IF(N470="","",IF(AND(COUNTIFS($N$3:$N$502,N470,$O$3:$O$502,O470,$P$3:$P$502,P470,$Q$3:$Q$502,"&gt;"&amp;Q470)=0,COUNTIFS($N$3:N470,N470,$O$3:O470,O470,$P$3:P470,P470,$Q$3:Q470,Q470)=1),1,0))</x:f>
      </x:c>
      <x:c r="S470" s="21" t="n">
        <x:f t="shared" si="9">IF(R470=1,Q470,0)</x:f>
        <x:v>0</x:v>
      </x:c>
      <x:c r="T470" s="15"/>
      <x:c r="U470" s="15"/>
      <x:c r="V470" s="15"/>
      <x:c r="W470" s="15"/>
      <x:c r="X470" s="15"/>
      <x:c r="Y470" s="15"/>
      <x:c r="Z470" s="14"/>
    </x:row>
    <x:row r="471" ht="14.399999618530273" customHeight="1">
      <x:c r="A471" s="14"/>
      <x:c r="B471" s="14"/>
      <x:c r="C471" s="14"/>
      <x:c r="D471" s="14"/>
      <x:c r="E471" s="14"/>
      <x:c r="F471" s="14"/>
      <x:c r="G471" s="14"/>
      <x:c r="H471" s="14"/>
      <x:c r="I471" s="14"/>
      <x:c r="J471" s="14"/>
      <x:c r="K471" s="14"/>
      <x:c r="L471" s="14"/>
      <x:c r="M471" s="14"/>
      <x:c r="N471" s="93" t="n">
        <x:f>'Registro de vuelos'!A472</x:f>
        <x:v>0</x:v>
      </x:c>
      <x:c r="O471" s="15" t="n">
        <x:f>'Registro de vuelos'!C472</x:f>
        <x:v>0</x:v>
      </x:c>
      <x:c r="P471" s="15" t="n">
        <x:f>'Registro de vuelos'!E472</x:f>
        <x:v>0</x:v>
      </x:c>
      <x:c r="Q471" s="21" t="n">
        <x:f>'Registro de vuelos'!F472</x:f>
        <x:v>0</x:v>
      </x:c>
      <x:c r="R471" s="21" t="str">
        <x:f>IF(N471="","",IF(AND(COUNTIFS($N$3:$N$502,N471,$O$3:$O$502,O471,$P$3:$P$502,P471,$Q$3:$Q$502,"&gt;"&amp;Q471)=0,COUNTIFS($N$3:N471,N471,$O$3:O471,O471,$P$3:P471,P471,$Q$3:Q471,Q471)=1),1,0))</x:f>
      </x:c>
      <x:c r="S471" s="21" t="n">
        <x:f t="shared" si="9">IF(R471=1,Q471,0)</x:f>
        <x:v>0</x:v>
      </x:c>
      <x:c r="T471" s="15"/>
      <x:c r="U471" s="15"/>
      <x:c r="V471" s="15"/>
      <x:c r="W471" s="15"/>
      <x:c r="X471" s="15"/>
      <x:c r="Y471" s="15"/>
      <x:c r="Z471" s="14"/>
    </x:row>
    <x:row r="472" ht="14.399999618530273" customHeight="1">
      <x:c r="A472" s="14"/>
      <x:c r="B472" s="14"/>
      <x:c r="C472" s="14"/>
      <x:c r="D472" s="14"/>
      <x:c r="E472" s="14"/>
      <x:c r="F472" s="14"/>
      <x:c r="G472" s="14"/>
      <x:c r="H472" s="14"/>
      <x:c r="I472" s="14"/>
      <x:c r="J472" s="14"/>
      <x:c r="K472" s="14"/>
      <x:c r="L472" s="14"/>
      <x:c r="M472" s="14"/>
      <x:c r="N472" s="93" t="n">
        <x:f>'Registro de vuelos'!A473</x:f>
        <x:v>0</x:v>
      </x:c>
      <x:c r="O472" s="15" t="n">
        <x:f>'Registro de vuelos'!C473</x:f>
        <x:v>0</x:v>
      </x:c>
      <x:c r="P472" s="15" t="n">
        <x:f>'Registro de vuelos'!E473</x:f>
        <x:v>0</x:v>
      </x:c>
      <x:c r="Q472" s="21" t="n">
        <x:f>'Registro de vuelos'!F473</x:f>
        <x:v>0</x:v>
      </x:c>
      <x:c r="R472" s="21" t="str">
        <x:f>IF(N472="","",IF(AND(COUNTIFS($N$3:$N$502,N472,$O$3:$O$502,O472,$P$3:$P$502,P472,$Q$3:$Q$502,"&gt;"&amp;Q472)=0,COUNTIFS($N$3:N472,N472,$O$3:O472,O472,$P$3:P472,P472,$Q$3:Q472,Q472)=1),1,0))</x:f>
      </x:c>
      <x:c r="S472" s="21" t="n">
        <x:f t="shared" si="9">IF(R472=1,Q472,0)</x:f>
        <x:v>0</x:v>
      </x:c>
      <x:c r="T472" s="15"/>
      <x:c r="U472" s="15"/>
      <x:c r="V472" s="15"/>
      <x:c r="W472" s="15"/>
      <x:c r="X472" s="15"/>
      <x:c r="Y472" s="15"/>
      <x:c r="Z472" s="14"/>
    </x:row>
    <x:row r="473" ht="14.399999618530273" customHeight="1">
      <x:c r="A473" s="14"/>
      <x:c r="B473" s="14"/>
      <x:c r="C473" s="14"/>
      <x:c r="D473" s="14"/>
      <x:c r="E473" s="14"/>
      <x:c r="F473" s="14"/>
      <x:c r="G473" s="14"/>
      <x:c r="H473" s="14"/>
      <x:c r="I473" s="14"/>
      <x:c r="J473" s="14"/>
      <x:c r="K473" s="14"/>
      <x:c r="L473" s="14"/>
      <x:c r="M473" s="14"/>
      <x:c r="N473" s="93" t="n">
        <x:f>'Registro de vuelos'!A474</x:f>
        <x:v>0</x:v>
      </x:c>
      <x:c r="O473" s="15" t="n">
        <x:f>'Registro de vuelos'!C474</x:f>
        <x:v>0</x:v>
      </x:c>
      <x:c r="P473" s="15" t="n">
        <x:f>'Registro de vuelos'!E474</x:f>
        <x:v>0</x:v>
      </x:c>
      <x:c r="Q473" s="21" t="n">
        <x:f>'Registro de vuelos'!F474</x:f>
        <x:v>0</x:v>
      </x:c>
      <x:c r="R473" s="21" t="str">
        <x:f>IF(N473="","",IF(AND(COUNTIFS($N$3:$N$502,N473,$O$3:$O$502,O473,$P$3:$P$502,P473,$Q$3:$Q$502,"&gt;"&amp;Q473)=0,COUNTIFS($N$3:N473,N473,$O$3:O473,O473,$P$3:P473,P473,$Q$3:Q473,Q473)=1),1,0))</x:f>
      </x:c>
      <x:c r="S473" s="21" t="n">
        <x:f t="shared" si="9">IF(R473=1,Q473,0)</x:f>
        <x:v>0</x:v>
      </x:c>
      <x:c r="T473" s="15"/>
      <x:c r="U473" s="15"/>
      <x:c r="V473" s="15"/>
      <x:c r="W473" s="15"/>
      <x:c r="X473" s="15"/>
      <x:c r="Y473" s="15"/>
      <x:c r="Z473" s="14"/>
    </x:row>
    <x:row r="474" ht="14.399999618530273" customHeight="1">
      <x:c r="A474" s="14"/>
      <x:c r="B474" s="14"/>
      <x:c r="C474" s="14"/>
      <x:c r="D474" s="14"/>
      <x:c r="E474" s="14"/>
      <x:c r="F474" s="14"/>
      <x:c r="G474" s="14"/>
      <x:c r="H474" s="14"/>
      <x:c r="I474" s="14"/>
      <x:c r="J474" s="14"/>
      <x:c r="K474" s="14"/>
      <x:c r="L474" s="14"/>
      <x:c r="M474" s="14"/>
      <x:c r="N474" s="93" t="n">
        <x:f>'Registro de vuelos'!A475</x:f>
        <x:v>0</x:v>
      </x:c>
      <x:c r="O474" s="15" t="n">
        <x:f>'Registro de vuelos'!C475</x:f>
        <x:v>0</x:v>
      </x:c>
      <x:c r="P474" s="15" t="n">
        <x:f>'Registro de vuelos'!E475</x:f>
        <x:v>0</x:v>
      </x:c>
      <x:c r="Q474" s="21" t="n">
        <x:f>'Registro de vuelos'!F475</x:f>
        <x:v>0</x:v>
      </x:c>
      <x:c r="R474" s="21" t="str">
        <x:f>IF(N474="","",IF(AND(COUNTIFS($N$3:$N$502,N474,$O$3:$O$502,O474,$P$3:$P$502,P474,$Q$3:$Q$502,"&gt;"&amp;Q474)=0,COUNTIFS($N$3:N474,N474,$O$3:O474,O474,$P$3:P474,P474,$Q$3:Q474,Q474)=1),1,0))</x:f>
      </x:c>
      <x:c r="S474" s="21" t="n">
        <x:f t="shared" si="9">IF(R474=1,Q474,0)</x:f>
        <x:v>0</x:v>
      </x:c>
      <x:c r="T474" s="15"/>
      <x:c r="U474" s="15"/>
      <x:c r="V474" s="15"/>
      <x:c r="W474" s="15"/>
      <x:c r="X474" s="15"/>
      <x:c r="Y474" s="15"/>
      <x:c r="Z474" s="14"/>
    </x:row>
    <x:row r="475" ht="14.399999618530273" customHeight="1">
      <x:c r="A475" s="14"/>
      <x:c r="B475" s="14"/>
      <x:c r="C475" s="14"/>
      <x:c r="D475" s="14"/>
      <x:c r="E475" s="14"/>
      <x:c r="F475" s="14"/>
      <x:c r="G475" s="14"/>
      <x:c r="H475" s="14"/>
      <x:c r="I475" s="14"/>
      <x:c r="J475" s="14"/>
      <x:c r="K475" s="14"/>
      <x:c r="L475" s="14"/>
      <x:c r="M475" s="14"/>
      <x:c r="N475" s="93" t="n">
        <x:f>'Registro de vuelos'!A476</x:f>
        <x:v>0</x:v>
      </x:c>
      <x:c r="O475" s="15" t="n">
        <x:f>'Registro de vuelos'!C476</x:f>
        <x:v>0</x:v>
      </x:c>
      <x:c r="P475" s="15" t="n">
        <x:f>'Registro de vuelos'!E476</x:f>
        <x:v>0</x:v>
      </x:c>
      <x:c r="Q475" s="21" t="n">
        <x:f>'Registro de vuelos'!F476</x:f>
        <x:v>0</x:v>
      </x:c>
      <x:c r="R475" s="21" t="str">
        <x:f>IF(N475="","",IF(AND(COUNTIFS($N$3:$N$502,N475,$O$3:$O$502,O475,$P$3:$P$502,P475,$Q$3:$Q$502,"&gt;"&amp;Q475)=0,COUNTIFS($N$3:N475,N475,$O$3:O475,O475,$P$3:P475,P475,$Q$3:Q475,Q475)=1),1,0))</x:f>
      </x:c>
      <x:c r="S475" s="21" t="n">
        <x:f t="shared" si="9">IF(R475=1,Q475,0)</x:f>
        <x:v>0</x:v>
      </x:c>
      <x:c r="T475" s="15"/>
      <x:c r="U475" s="15"/>
      <x:c r="V475" s="15"/>
      <x:c r="W475" s="15"/>
      <x:c r="X475" s="15"/>
      <x:c r="Y475" s="15"/>
      <x:c r="Z475" s="14"/>
    </x:row>
    <x:row r="476" ht="14.399999618530273" customHeight="1">
      <x:c r="A476" s="14"/>
      <x:c r="B476" s="14"/>
      <x:c r="C476" s="14"/>
      <x:c r="D476" s="14"/>
      <x:c r="E476" s="14"/>
      <x:c r="F476" s="14"/>
      <x:c r="G476" s="14"/>
      <x:c r="H476" s="14"/>
      <x:c r="I476" s="14"/>
      <x:c r="J476" s="14"/>
      <x:c r="K476" s="14"/>
      <x:c r="L476" s="14"/>
      <x:c r="M476" s="14"/>
      <x:c r="N476" s="93" t="n">
        <x:f>'Registro de vuelos'!A477</x:f>
        <x:v>0</x:v>
      </x:c>
      <x:c r="O476" s="15" t="n">
        <x:f>'Registro de vuelos'!C477</x:f>
        <x:v>0</x:v>
      </x:c>
      <x:c r="P476" s="15" t="n">
        <x:f>'Registro de vuelos'!E477</x:f>
        <x:v>0</x:v>
      </x:c>
      <x:c r="Q476" s="21" t="n">
        <x:f>'Registro de vuelos'!F477</x:f>
        <x:v>0</x:v>
      </x:c>
      <x:c r="R476" s="21" t="str">
        <x:f>IF(N476="","",IF(AND(COUNTIFS($N$3:$N$502,N476,$O$3:$O$502,O476,$P$3:$P$502,P476,$Q$3:$Q$502,"&gt;"&amp;Q476)=0,COUNTIFS($N$3:N476,N476,$O$3:O476,O476,$P$3:P476,P476,$Q$3:Q476,Q476)=1),1,0))</x:f>
      </x:c>
      <x:c r="S476" s="21" t="n">
        <x:f t="shared" si="9">IF(R476=1,Q476,0)</x:f>
        <x:v>0</x:v>
      </x:c>
      <x:c r="T476" s="15"/>
      <x:c r="U476" s="15"/>
      <x:c r="V476" s="15"/>
      <x:c r="W476" s="15"/>
      <x:c r="X476" s="15"/>
      <x:c r="Y476" s="15"/>
      <x:c r="Z476" s="14"/>
    </x:row>
    <x:row r="477" ht="14.399999618530273" customHeight="1">
      <x:c r="A477" s="14"/>
      <x:c r="B477" s="14"/>
      <x:c r="C477" s="14"/>
      <x:c r="D477" s="14"/>
      <x:c r="E477" s="14"/>
      <x:c r="F477" s="14"/>
      <x:c r="G477" s="14"/>
      <x:c r="H477" s="14"/>
      <x:c r="I477" s="14"/>
      <x:c r="J477" s="14"/>
      <x:c r="K477" s="14"/>
      <x:c r="L477" s="14"/>
      <x:c r="M477" s="14"/>
      <x:c r="N477" s="93" t="n">
        <x:f>'Registro de vuelos'!A478</x:f>
        <x:v>0</x:v>
      </x:c>
      <x:c r="O477" s="15" t="n">
        <x:f>'Registro de vuelos'!C478</x:f>
        <x:v>0</x:v>
      </x:c>
      <x:c r="P477" s="15" t="n">
        <x:f>'Registro de vuelos'!E478</x:f>
        <x:v>0</x:v>
      </x:c>
      <x:c r="Q477" s="21" t="n">
        <x:f>'Registro de vuelos'!F478</x:f>
        <x:v>0</x:v>
      </x:c>
      <x:c r="R477" s="21" t="str">
        <x:f>IF(N477="","",IF(AND(COUNTIFS($N$3:$N$502,N477,$O$3:$O$502,O477,$P$3:$P$502,P477,$Q$3:$Q$502,"&gt;"&amp;Q477)=0,COUNTIFS($N$3:N477,N477,$O$3:O477,O477,$P$3:P477,P477,$Q$3:Q477,Q477)=1),1,0))</x:f>
      </x:c>
      <x:c r="S477" s="21" t="n">
        <x:f t="shared" si="9">IF(R477=1,Q477,0)</x:f>
        <x:v>0</x:v>
      </x:c>
      <x:c r="T477" s="15"/>
      <x:c r="U477" s="15"/>
      <x:c r="V477" s="15"/>
      <x:c r="W477" s="15"/>
      <x:c r="X477" s="15"/>
      <x:c r="Y477" s="15"/>
      <x:c r="Z477" s="14"/>
    </x:row>
    <x:row r="478" ht="14.399999618530273" customHeight="1">
      <x:c r="A478" s="14"/>
      <x:c r="B478" s="14"/>
      <x:c r="C478" s="14"/>
      <x:c r="D478" s="14"/>
      <x:c r="E478" s="14"/>
      <x:c r="F478" s="14"/>
      <x:c r="G478" s="14"/>
      <x:c r="H478" s="14"/>
      <x:c r="I478" s="14"/>
      <x:c r="J478" s="14"/>
      <x:c r="K478" s="14"/>
      <x:c r="L478" s="14"/>
      <x:c r="M478" s="14"/>
      <x:c r="N478" s="93" t="n">
        <x:f>'Registro de vuelos'!A479</x:f>
        <x:v>0</x:v>
      </x:c>
      <x:c r="O478" s="15" t="n">
        <x:f>'Registro de vuelos'!C479</x:f>
        <x:v>0</x:v>
      </x:c>
      <x:c r="P478" s="15" t="n">
        <x:f>'Registro de vuelos'!E479</x:f>
        <x:v>0</x:v>
      </x:c>
      <x:c r="Q478" s="21" t="n">
        <x:f>'Registro de vuelos'!F479</x:f>
        <x:v>0</x:v>
      </x:c>
      <x:c r="R478" s="21" t="str">
        <x:f>IF(N478="","",IF(AND(COUNTIFS($N$3:$N$502,N478,$O$3:$O$502,O478,$P$3:$P$502,P478,$Q$3:$Q$502,"&gt;"&amp;Q478)=0,COUNTIFS($N$3:N478,N478,$O$3:O478,O478,$P$3:P478,P478,$Q$3:Q478,Q478)=1),1,0))</x:f>
      </x:c>
      <x:c r="S478" s="21" t="n">
        <x:f t="shared" si="9">IF(R478=1,Q478,0)</x:f>
        <x:v>0</x:v>
      </x:c>
      <x:c r="T478" s="15"/>
      <x:c r="U478" s="15"/>
      <x:c r="V478" s="15"/>
      <x:c r="W478" s="15"/>
      <x:c r="X478" s="15"/>
      <x:c r="Y478" s="15"/>
      <x:c r="Z478" s="14"/>
    </x:row>
    <x:row r="479" ht="14.399999618530273" customHeight="1">
      <x:c r="A479" s="14"/>
      <x:c r="B479" s="14"/>
      <x:c r="C479" s="14"/>
      <x:c r="D479" s="14"/>
      <x:c r="E479" s="14"/>
      <x:c r="F479" s="14"/>
      <x:c r="G479" s="14"/>
      <x:c r="H479" s="14"/>
      <x:c r="I479" s="14"/>
      <x:c r="J479" s="14"/>
      <x:c r="K479" s="14"/>
      <x:c r="L479" s="14"/>
      <x:c r="M479" s="14"/>
      <x:c r="N479" s="93" t="n">
        <x:f>'Registro de vuelos'!A480</x:f>
        <x:v>0</x:v>
      </x:c>
      <x:c r="O479" s="15" t="n">
        <x:f>'Registro de vuelos'!C480</x:f>
        <x:v>0</x:v>
      </x:c>
      <x:c r="P479" s="15" t="n">
        <x:f>'Registro de vuelos'!E480</x:f>
        <x:v>0</x:v>
      </x:c>
      <x:c r="Q479" s="21" t="n">
        <x:f>'Registro de vuelos'!F480</x:f>
        <x:v>0</x:v>
      </x:c>
      <x:c r="R479" s="21" t="str">
        <x:f>IF(N479="","",IF(AND(COUNTIFS($N$3:$N$502,N479,$O$3:$O$502,O479,$P$3:$P$502,P479,$Q$3:$Q$502,"&gt;"&amp;Q479)=0,COUNTIFS($N$3:N479,N479,$O$3:O479,O479,$P$3:P479,P479,$Q$3:Q479,Q479)=1),1,0))</x:f>
      </x:c>
      <x:c r="S479" s="21" t="n">
        <x:f t="shared" si="9">IF(R479=1,Q479,0)</x:f>
        <x:v>0</x:v>
      </x:c>
      <x:c r="T479" s="15"/>
      <x:c r="U479" s="15"/>
      <x:c r="V479" s="15"/>
      <x:c r="W479" s="15"/>
      <x:c r="X479" s="15"/>
      <x:c r="Y479" s="15"/>
      <x:c r="Z479" s="14"/>
    </x:row>
    <x:row r="480" ht="14.399999618530273" customHeight="1">
      <x:c r="A480" s="14"/>
      <x:c r="B480" s="14"/>
      <x:c r="C480" s="14"/>
      <x:c r="D480" s="14"/>
      <x:c r="E480" s="14"/>
      <x:c r="F480" s="14"/>
      <x:c r="G480" s="14"/>
      <x:c r="H480" s="14"/>
      <x:c r="I480" s="14"/>
      <x:c r="J480" s="14"/>
      <x:c r="K480" s="14"/>
      <x:c r="L480" s="14"/>
      <x:c r="M480" s="14"/>
      <x:c r="N480" s="93" t="n">
        <x:f>'Registro de vuelos'!A481</x:f>
        <x:v>0</x:v>
      </x:c>
      <x:c r="O480" s="15" t="n">
        <x:f>'Registro de vuelos'!C481</x:f>
        <x:v>0</x:v>
      </x:c>
      <x:c r="P480" s="15" t="n">
        <x:f>'Registro de vuelos'!E481</x:f>
        <x:v>0</x:v>
      </x:c>
      <x:c r="Q480" s="21" t="n">
        <x:f>'Registro de vuelos'!F481</x:f>
        <x:v>0</x:v>
      </x:c>
      <x:c r="R480" s="21" t="str">
        <x:f>IF(N480="","",IF(AND(COUNTIFS($N$3:$N$502,N480,$O$3:$O$502,O480,$P$3:$P$502,P480,$Q$3:$Q$502,"&gt;"&amp;Q480)=0,COUNTIFS($N$3:N480,N480,$O$3:O480,O480,$P$3:P480,P480,$Q$3:Q480,Q480)=1),1,0))</x:f>
      </x:c>
      <x:c r="S480" s="21" t="n">
        <x:f t="shared" si="9">IF(R480=1,Q480,0)</x:f>
        <x:v>0</x:v>
      </x:c>
      <x:c r="T480" s="15"/>
      <x:c r="U480" s="15"/>
      <x:c r="V480" s="15"/>
      <x:c r="W480" s="15"/>
      <x:c r="X480" s="15"/>
      <x:c r="Y480" s="15"/>
      <x:c r="Z480" s="14"/>
    </x:row>
    <x:row r="481" ht="14.399999618530273" customHeight="1">
      <x:c r="A481" s="14"/>
      <x:c r="B481" s="14"/>
      <x:c r="C481" s="14"/>
      <x:c r="D481" s="14"/>
      <x:c r="E481" s="14"/>
      <x:c r="F481" s="14"/>
      <x:c r="G481" s="14"/>
      <x:c r="H481" s="14"/>
      <x:c r="I481" s="14"/>
      <x:c r="J481" s="14"/>
      <x:c r="K481" s="14"/>
      <x:c r="L481" s="14"/>
      <x:c r="M481" s="14"/>
      <x:c r="N481" s="93" t="n">
        <x:f>'Registro de vuelos'!A482</x:f>
        <x:v>0</x:v>
      </x:c>
      <x:c r="O481" s="15" t="n">
        <x:f>'Registro de vuelos'!C482</x:f>
        <x:v>0</x:v>
      </x:c>
      <x:c r="P481" s="15" t="n">
        <x:f>'Registro de vuelos'!E482</x:f>
        <x:v>0</x:v>
      </x:c>
      <x:c r="Q481" s="21" t="n">
        <x:f>'Registro de vuelos'!F482</x:f>
        <x:v>0</x:v>
      </x:c>
      <x:c r="R481" s="21" t="str">
        <x:f>IF(N481="","",IF(AND(COUNTIFS($N$3:$N$502,N481,$O$3:$O$502,O481,$P$3:$P$502,P481,$Q$3:$Q$502,"&gt;"&amp;Q481)=0,COUNTIFS($N$3:N481,N481,$O$3:O481,O481,$P$3:P481,P481,$Q$3:Q481,Q481)=1),1,0))</x:f>
      </x:c>
      <x:c r="S481" s="21" t="n">
        <x:f t="shared" si="9">IF(R481=1,Q481,0)</x:f>
        <x:v>0</x:v>
      </x:c>
      <x:c r="T481" s="15"/>
      <x:c r="U481" s="15"/>
      <x:c r="V481" s="15"/>
      <x:c r="W481" s="15"/>
      <x:c r="X481" s="15"/>
      <x:c r="Y481" s="15"/>
      <x:c r="Z481" s="14"/>
    </x:row>
    <x:row r="482" ht="14.399999618530273" customHeight="1">
      <x:c r="A482" s="14"/>
      <x:c r="B482" s="14"/>
      <x:c r="C482" s="14"/>
      <x:c r="D482" s="14"/>
      <x:c r="E482" s="14"/>
      <x:c r="F482" s="14"/>
      <x:c r="G482" s="14"/>
      <x:c r="H482" s="14"/>
      <x:c r="I482" s="14"/>
      <x:c r="J482" s="14"/>
      <x:c r="K482" s="14"/>
      <x:c r="L482" s="14"/>
      <x:c r="M482" s="14"/>
      <x:c r="N482" s="93" t="n">
        <x:f>'Registro de vuelos'!A483</x:f>
        <x:v>0</x:v>
      </x:c>
      <x:c r="O482" s="15" t="n">
        <x:f>'Registro de vuelos'!C483</x:f>
        <x:v>0</x:v>
      </x:c>
      <x:c r="P482" s="15" t="n">
        <x:f>'Registro de vuelos'!E483</x:f>
        <x:v>0</x:v>
      </x:c>
      <x:c r="Q482" s="21" t="n">
        <x:f>'Registro de vuelos'!F483</x:f>
        <x:v>0</x:v>
      </x:c>
      <x:c r="R482" s="21" t="str">
        <x:f>IF(N482="","",IF(AND(COUNTIFS($N$3:$N$502,N482,$O$3:$O$502,O482,$P$3:$P$502,P482,$Q$3:$Q$502,"&gt;"&amp;Q482)=0,COUNTIFS($N$3:N482,N482,$O$3:O482,O482,$P$3:P482,P482,$Q$3:Q482,Q482)=1),1,0))</x:f>
      </x:c>
      <x:c r="S482" s="21" t="n">
        <x:f t="shared" si="9">IF(R482=1,Q482,0)</x:f>
        <x:v>0</x:v>
      </x:c>
      <x:c r="T482" s="15"/>
      <x:c r="U482" s="15"/>
      <x:c r="V482" s="15"/>
      <x:c r="W482" s="15"/>
      <x:c r="X482" s="15"/>
      <x:c r="Y482" s="15"/>
      <x:c r="Z482" s="14"/>
    </x:row>
    <x:row r="483" ht="14.399999618530273" customHeight="1">
      <x:c r="A483" s="14"/>
      <x:c r="B483" s="14"/>
      <x:c r="C483" s="14"/>
      <x:c r="D483" s="14"/>
      <x:c r="E483" s="14"/>
      <x:c r="F483" s="14"/>
      <x:c r="G483" s="14"/>
      <x:c r="H483" s="14"/>
      <x:c r="I483" s="14"/>
      <x:c r="J483" s="14"/>
      <x:c r="K483" s="14"/>
      <x:c r="L483" s="14"/>
      <x:c r="M483" s="14"/>
      <x:c r="N483" s="93" t="n">
        <x:f>'Registro de vuelos'!A484</x:f>
        <x:v>0</x:v>
      </x:c>
      <x:c r="O483" s="15" t="n">
        <x:f>'Registro de vuelos'!C484</x:f>
        <x:v>0</x:v>
      </x:c>
      <x:c r="P483" s="15" t="n">
        <x:f>'Registro de vuelos'!E484</x:f>
        <x:v>0</x:v>
      </x:c>
      <x:c r="Q483" s="21" t="n">
        <x:f>'Registro de vuelos'!F484</x:f>
        <x:v>0</x:v>
      </x:c>
      <x:c r="R483" s="21" t="str">
        <x:f>IF(N483="","",IF(AND(COUNTIFS($N$3:$N$502,N483,$O$3:$O$502,O483,$P$3:$P$502,P483,$Q$3:$Q$502,"&gt;"&amp;Q483)=0,COUNTIFS($N$3:N483,N483,$O$3:O483,O483,$P$3:P483,P483,$Q$3:Q483,Q483)=1),1,0))</x:f>
      </x:c>
      <x:c r="S483" s="21" t="n">
        <x:f t="shared" si="9">IF(R483=1,Q483,0)</x:f>
        <x:v>0</x:v>
      </x:c>
      <x:c r="T483" s="15"/>
      <x:c r="U483" s="15"/>
      <x:c r="V483" s="15"/>
      <x:c r="W483" s="15"/>
      <x:c r="X483" s="15"/>
      <x:c r="Y483" s="15"/>
      <x:c r="Z483" s="14"/>
    </x:row>
    <x:row r="484" ht="14.399999618530273" customHeight="1">
      <x:c r="A484" s="14"/>
      <x:c r="B484" s="14"/>
      <x:c r="C484" s="14"/>
      <x:c r="D484" s="14"/>
      <x:c r="E484" s="14"/>
      <x:c r="F484" s="14"/>
      <x:c r="G484" s="14"/>
      <x:c r="H484" s="14"/>
      <x:c r="I484" s="14"/>
      <x:c r="J484" s="14"/>
      <x:c r="K484" s="14"/>
      <x:c r="L484" s="14"/>
      <x:c r="M484" s="14"/>
      <x:c r="N484" s="93" t="n">
        <x:f>'Registro de vuelos'!A485</x:f>
        <x:v>0</x:v>
      </x:c>
      <x:c r="O484" s="15" t="n">
        <x:f>'Registro de vuelos'!C485</x:f>
        <x:v>0</x:v>
      </x:c>
      <x:c r="P484" s="15" t="n">
        <x:f>'Registro de vuelos'!E485</x:f>
        <x:v>0</x:v>
      </x:c>
      <x:c r="Q484" s="21" t="n">
        <x:f>'Registro de vuelos'!F485</x:f>
        <x:v>0</x:v>
      </x:c>
      <x:c r="R484" s="21" t="str">
        <x:f>IF(N484="","",IF(AND(COUNTIFS($N$3:$N$502,N484,$O$3:$O$502,O484,$P$3:$P$502,P484,$Q$3:$Q$502,"&gt;"&amp;Q484)=0,COUNTIFS($N$3:N484,N484,$O$3:O484,O484,$P$3:P484,P484,$Q$3:Q484,Q484)=1),1,0))</x:f>
      </x:c>
      <x:c r="S484" s="21" t="n">
        <x:f t="shared" si="9">IF(R484=1,Q484,0)</x:f>
        <x:v>0</x:v>
      </x:c>
      <x:c r="T484" s="15"/>
      <x:c r="U484" s="15"/>
      <x:c r="V484" s="15"/>
      <x:c r="W484" s="15"/>
      <x:c r="X484" s="15"/>
      <x:c r="Y484" s="15"/>
      <x:c r="Z484" s="14"/>
    </x:row>
    <x:row r="485" ht="14.399999618530273" customHeight="1">
      <x:c r="A485" s="14"/>
      <x:c r="B485" s="14"/>
      <x:c r="C485" s="14"/>
      <x:c r="D485" s="14"/>
      <x:c r="E485" s="14"/>
      <x:c r="F485" s="14"/>
      <x:c r="G485" s="14"/>
      <x:c r="H485" s="14"/>
      <x:c r="I485" s="14"/>
      <x:c r="J485" s="14"/>
      <x:c r="K485" s="14"/>
      <x:c r="L485" s="14"/>
      <x:c r="M485" s="14"/>
      <x:c r="N485" s="93" t="n">
        <x:f>'Registro de vuelos'!A486</x:f>
        <x:v>0</x:v>
      </x:c>
      <x:c r="O485" s="15" t="n">
        <x:f>'Registro de vuelos'!C486</x:f>
        <x:v>0</x:v>
      </x:c>
      <x:c r="P485" s="15" t="n">
        <x:f>'Registro de vuelos'!E486</x:f>
        <x:v>0</x:v>
      </x:c>
      <x:c r="Q485" s="21" t="n">
        <x:f>'Registro de vuelos'!F486</x:f>
        <x:v>0</x:v>
      </x:c>
      <x:c r="R485" s="21" t="str">
        <x:f>IF(N485="","",IF(AND(COUNTIFS($N$3:$N$502,N485,$O$3:$O$502,O485,$P$3:$P$502,P485,$Q$3:$Q$502,"&gt;"&amp;Q485)=0,COUNTIFS($N$3:N485,N485,$O$3:O485,O485,$P$3:P485,P485,$Q$3:Q485,Q485)=1),1,0))</x:f>
      </x:c>
      <x:c r="S485" s="21" t="n">
        <x:f t="shared" si="9">IF(R485=1,Q485,0)</x:f>
        <x:v>0</x:v>
      </x:c>
      <x:c r="T485" s="15"/>
      <x:c r="U485" s="15"/>
      <x:c r="V485" s="15"/>
      <x:c r="W485" s="15"/>
      <x:c r="X485" s="15"/>
      <x:c r="Y485" s="15"/>
      <x:c r="Z485" s="14"/>
    </x:row>
    <x:row r="486" ht="14.399999618530273" customHeight="1">
      <x:c r="A486" s="14"/>
      <x:c r="B486" s="14"/>
      <x:c r="C486" s="14"/>
      <x:c r="D486" s="14"/>
      <x:c r="E486" s="14"/>
      <x:c r="F486" s="14"/>
      <x:c r="G486" s="14"/>
      <x:c r="H486" s="14"/>
      <x:c r="I486" s="14"/>
      <x:c r="J486" s="14"/>
      <x:c r="K486" s="14"/>
      <x:c r="L486" s="14"/>
      <x:c r="M486" s="14"/>
      <x:c r="N486" s="93" t="n">
        <x:f>'Registro de vuelos'!A487</x:f>
        <x:v>0</x:v>
      </x:c>
      <x:c r="O486" s="15" t="n">
        <x:f>'Registro de vuelos'!C487</x:f>
        <x:v>0</x:v>
      </x:c>
      <x:c r="P486" s="15" t="n">
        <x:f>'Registro de vuelos'!E487</x:f>
        <x:v>0</x:v>
      </x:c>
      <x:c r="Q486" s="21" t="n">
        <x:f>'Registro de vuelos'!F487</x:f>
        <x:v>0</x:v>
      </x:c>
      <x:c r="R486" s="21" t="str">
        <x:f>IF(N486="","",IF(AND(COUNTIFS($N$3:$N$502,N486,$O$3:$O$502,O486,$P$3:$P$502,P486,$Q$3:$Q$502,"&gt;"&amp;Q486)=0,COUNTIFS($N$3:N486,N486,$O$3:O486,O486,$P$3:P486,P486,$Q$3:Q486,Q486)=1),1,0))</x:f>
      </x:c>
      <x:c r="S486" s="21" t="n">
        <x:f t="shared" si="9">IF(R486=1,Q486,0)</x:f>
        <x:v>0</x:v>
      </x:c>
      <x:c r="T486" s="15"/>
      <x:c r="U486" s="15"/>
      <x:c r="V486" s="15"/>
      <x:c r="W486" s="15"/>
      <x:c r="X486" s="15"/>
      <x:c r="Y486" s="15"/>
      <x:c r="Z486" s="14"/>
    </x:row>
    <x:row r="487" ht="14.399999618530273" customHeight="1">
      <x:c r="A487" s="14"/>
      <x:c r="B487" s="14"/>
      <x:c r="C487" s="14"/>
      <x:c r="D487" s="14"/>
      <x:c r="E487" s="14"/>
      <x:c r="F487" s="14"/>
      <x:c r="G487" s="14"/>
      <x:c r="H487" s="14"/>
      <x:c r="I487" s="14"/>
      <x:c r="J487" s="14"/>
      <x:c r="K487" s="14"/>
      <x:c r="L487" s="14"/>
      <x:c r="M487" s="14"/>
      <x:c r="N487" s="93" t="n">
        <x:f>'Registro de vuelos'!A488</x:f>
        <x:v>0</x:v>
      </x:c>
      <x:c r="O487" s="15" t="n">
        <x:f>'Registro de vuelos'!C488</x:f>
        <x:v>0</x:v>
      </x:c>
      <x:c r="P487" s="15" t="n">
        <x:f>'Registro de vuelos'!E488</x:f>
        <x:v>0</x:v>
      </x:c>
      <x:c r="Q487" s="21" t="n">
        <x:f>'Registro de vuelos'!F488</x:f>
        <x:v>0</x:v>
      </x:c>
      <x:c r="R487" s="21" t="str">
        <x:f>IF(N487="","",IF(AND(COUNTIFS($N$3:$N$502,N487,$O$3:$O$502,O487,$P$3:$P$502,P487,$Q$3:$Q$502,"&gt;"&amp;Q487)=0,COUNTIFS($N$3:N487,N487,$O$3:O487,O487,$P$3:P487,P487,$Q$3:Q487,Q487)=1),1,0))</x:f>
      </x:c>
      <x:c r="S487" s="21" t="n">
        <x:f t="shared" si="9">IF(R487=1,Q487,0)</x:f>
        <x:v>0</x:v>
      </x:c>
      <x:c r="T487" s="15"/>
      <x:c r="U487" s="15"/>
      <x:c r="V487" s="15"/>
      <x:c r="W487" s="15"/>
      <x:c r="X487" s="15"/>
      <x:c r="Y487" s="15"/>
      <x:c r="Z487" s="14"/>
    </x:row>
    <x:row r="488" ht="14.399999618530273" customHeight="1">
      <x:c r="A488" s="14"/>
      <x:c r="B488" s="14"/>
      <x:c r="C488" s="14"/>
      <x:c r="D488" s="14"/>
      <x:c r="E488" s="14"/>
      <x:c r="F488" s="14"/>
      <x:c r="G488" s="14"/>
      <x:c r="H488" s="14"/>
      <x:c r="I488" s="14"/>
      <x:c r="J488" s="14"/>
      <x:c r="K488" s="14"/>
      <x:c r="L488" s="14"/>
      <x:c r="M488" s="14"/>
      <x:c r="N488" s="93" t="n">
        <x:f>'Registro de vuelos'!A489</x:f>
        <x:v>0</x:v>
      </x:c>
      <x:c r="O488" s="15" t="n">
        <x:f>'Registro de vuelos'!C489</x:f>
        <x:v>0</x:v>
      </x:c>
      <x:c r="P488" s="15" t="n">
        <x:f>'Registro de vuelos'!E489</x:f>
        <x:v>0</x:v>
      </x:c>
      <x:c r="Q488" s="21" t="n">
        <x:f>'Registro de vuelos'!F489</x:f>
        <x:v>0</x:v>
      </x:c>
      <x:c r="R488" s="21" t="str">
        <x:f>IF(N488="","",IF(AND(COUNTIFS($N$3:$N$502,N488,$O$3:$O$502,O488,$P$3:$P$502,P488,$Q$3:$Q$502,"&gt;"&amp;Q488)=0,COUNTIFS($N$3:N488,N488,$O$3:O488,O488,$P$3:P488,P488,$Q$3:Q488,Q488)=1),1,0))</x:f>
      </x:c>
      <x:c r="S488" s="21" t="n">
        <x:f t="shared" si="9">IF(R488=1,Q488,0)</x:f>
        <x:v>0</x:v>
      </x:c>
      <x:c r="T488" s="15"/>
      <x:c r="U488" s="15"/>
      <x:c r="V488" s="15"/>
      <x:c r="W488" s="15"/>
      <x:c r="X488" s="15"/>
      <x:c r="Y488" s="15"/>
      <x:c r="Z488" s="14"/>
    </x:row>
    <x:row r="489" ht="14.399999618530273" customHeight="1">
      <x:c r="A489" s="14"/>
      <x:c r="B489" s="14"/>
      <x:c r="C489" s="14"/>
      <x:c r="D489" s="14"/>
      <x:c r="E489" s="14"/>
      <x:c r="F489" s="14"/>
      <x:c r="G489" s="14"/>
      <x:c r="H489" s="14"/>
      <x:c r="I489" s="14"/>
      <x:c r="J489" s="14"/>
      <x:c r="K489" s="14"/>
      <x:c r="L489" s="14"/>
      <x:c r="M489" s="14"/>
      <x:c r="N489" s="93" t="n">
        <x:f>'Registro de vuelos'!A490</x:f>
        <x:v>0</x:v>
      </x:c>
      <x:c r="O489" s="15" t="n">
        <x:f>'Registro de vuelos'!C490</x:f>
        <x:v>0</x:v>
      </x:c>
      <x:c r="P489" s="15" t="n">
        <x:f>'Registro de vuelos'!E490</x:f>
        <x:v>0</x:v>
      </x:c>
      <x:c r="Q489" s="21" t="n">
        <x:f>'Registro de vuelos'!F490</x:f>
        <x:v>0</x:v>
      </x:c>
      <x:c r="R489" s="21" t="str">
        <x:f>IF(N489="","",IF(AND(COUNTIFS($N$3:$N$502,N489,$O$3:$O$502,O489,$P$3:$P$502,P489,$Q$3:$Q$502,"&gt;"&amp;Q489)=0,COUNTIFS($N$3:N489,N489,$O$3:O489,O489,$P$3:P489,P489,$Q$3:Q489,Q489)=1),1,0))</x:f>
      </x:c>
      <x:c r="S489" s="21" t="n">
        <x:f t="shared" si="9">IF(R489=1,Q489,0)</x:f>
        <x:v>0</x:v>
      </x:c>
      <x:c r="T489" s="15"/>
      <x:c r="U489" s="15"/>
      <x:c r="V489" s="15"/>
      <x:c r="W489" s="15"/>
      <x:c r="X489" s="15"/>
      <x:c r="Y489" s="15"/>
      <x:c r="Z489" s="14"/>
    </x:row>
    <x:row r="490" ht="14.399999618530273" customHeight="1">
      <x:c r="A490" s="14"/>
      <x:c r="B490" s="14"/>
      <x:c r="C490" s="14"/>
      <x:c r="D490" s="14"/>
      <x:c r="E490" s="14"/>
      <x:c r="F490" s="14"/>
      <x:c r="G490" s="14"/>
      <x:c r="H490" s="14"/>
      <x:c r="I490" s="14"/>
      <x:c r="J490" s="14"/>
      <x:c r="K490" s="14"/>
      <x:c r="L490" s="14"/>
      <x:c r="M490" s="14"/>
      <x:c r="N490" s="93" t="n">
        <x:f>'Registro de vuelos'!A491</x:f>
        <x:v>0</x:v>
      </x:c>
      <x:c r="O490" s="15" t="n">
        <x:f>'Registro de vuelos'!C491</x:f>
        <x:v>0</x:v>
      </x:c>
      <x:c r="P490" s="15" t="n">
        <x:f>'Registro de vuelos'!E491</x:f>
        <x:v>0</x:v>
      </x:c>
      <x:c r="Q490" s="21" t="n">
        <x:f>'Registro de vuelos'!F491</x:f>
        <x:v>0</x:v>
      </x:c>
      <x:c r="R490" s="21" t="str">
        <x:f>IF(N490="","",IF(AND(COUNTIFS($N$3:$N$502,N490,$O$3:$O$502,O490,$P$3:$P$502,P490,$Q$3:$Q$502,"&gt;"&amp;Q490)=0,COUNTIFS($N$3:N490,N490,$O$3:O490,O490,$P$3:P490,P490,$Q$3:Q490,Q490)=1),1,0))</x:f>
      </x:c>
      <x:c r="S490" s="21" t="n">
        <x:f t="shared" si="9">IF(R490=1,Q490,0)</x:f>
        <x:v>0</x:v>
      </x:c>
      <x:c r="T490" s="15"/>
      <x:c r="U490" s="15"/>
      <x:c r="V490" s="15"/>
      <x:c r="W490" s="15"/>
      <x:c r="X490" s="15"/>
      <x:c r="Y490" s="15"/>
      <x:c r="Z490" s="14"/>
    </x:row>
    <x:row r="491" ht="14.399999618530273" customHeight="1">
      <x:c r="A491" s="14"/>
      <x:c r="B491" s="14"/>
      <x:c r="C491" s="14"/>
      <x:c r="D491" s="14"/>
      <x:c r="E491" s="14"/>
      <x:c r="F491" s="14"/>
      <x:c r="G491" s="14"/>
      <x:c r="H491" s="14"/>
      <x:c r="I491" s="14"/>
      <x:c r="J491" s="14"/>
      <x:c r="K491" s="14"/>
      <x:c r="L491" s="14"/>
      <x:c r="M491" s="14"/>
      <x:c r="N491" s="93" t="n">
        <x:f>'Registro de vuelos'!A492</x:f>
        <x:v>0</x:v>
      </x:c>
      <x:c r="O491" s="15" t="n">
        <x:f>'Registro de vuelos'!C492</x:f>
        <x:v>0</x:v>
      </x:c>
      <x:c r="P491" s="15" t="n">
        <x:f>'Registro de vuelos'!E492</x:f>
        <x:v>0</x:v>
      </x:c>
      <x:c r="Q491" s="21" t="n">
        <x:f>'Registro de vuelos'!F492</x:f>
        <x:v>0</x:v>
      </x:c>
      <x:c r="R491" s="21" t="str">
        <x:f>IF(N491="","",IF(AND(COUNTIFS($N$3:$N$502,N491,$O$3:$O$502,O491,$P$3:$P$502,P491,$Q$3:$Q$502,"&gt;"&amp;Q491)=0,COUNTIFS($N$3:N491,N491,$O$3:O491,O491,$P$3:P491,P491,$Q$3:Q491,Q491)=1),1,0))</x:f>
      </x:c>
      <x:c r="S491" s="21" t="n">
        <x:f t="shared" si="9">IF(R491=1,Q491,0)</x:f>
        <x:v>0</x:v>
      </x:c>
      <x:c r="T491" s="15"/>
      <x:c r="U491" s="15"/>
      <x:c r="V491" s="15"/>
      <x:c r="W491" s="15"/>
      <x:c r="X491" s="15"/>
      <x:c r="Y491" s="15"/>
      <x:c r="Z491" s="14"/>
    </x:row>
    <x:row r="492" ht="14.399999618530273" customHeight="1">
      <x:c r="A492" s="14"/>
      <x:c r="B492" s="14"/>
      <x:c r="C492" s="14"/>
      <x:c r="D492" s="14"/>
      <x:c r="E492" s="14"/>
      <x:c r="F492" s="14"/>
      <x:c r="G492" s="14"/>
      <x:c r="H492" s="14"/>
      <x:c r="I492" s="14"/>
      <x:c r="J492" s="14"/>
      <x:c r="K492" s="14"/>
      <x:c r="L492" s="14"/>
      <x:c r="M492" s="14"/>
      <x:c r="N492" s="93" t="n">
        <x:f>'Registro de vuelos'!A493</x:f>
        <x:v>0</x:v>
      </x:c>
      <x:c r="O492" s="15" t="n">
        <x:f>'Registro de vuelos'!C493</x:f>
        <x:v>0</x:v>
      </x:c>
      <x:c r="P492" s="15" t="n">
        <x:f>'Registro de vuelos'!E493</x:f>
        <x:v>0</x:v>
      </x:c>
      <x:c r="Q492" s="21" t="n">
        <x:f>'Registro de vuelos'!F493</x:f>
        <x:v>0</x:v>
      </x:c>
      <x:c r="R492" s="21" t="str">
        <x:f>IF(N492="","",IF(AND(COUNTIFS($N$3:$N$502,N492,$O$3:$O$502,O492,$P$3:$P$502,P492,$Q$3:$Q$502,"&gt;"&amp;Q492)=0,COUNTIFS($N$3:N492,N492,$O$3:O492,O492,$P$3:P492,P492,$Q$3:Q492,Q492)=1),1,0))</x:f>
      </x:c>
      <x:c r="S492" s="21" t="n">
        <x:f t="shared" si="9">IF(R492=1,Q492,0)</x:f>
        <x:v>0</x:v>
      </x:c>
      <x:c r="T492" s="15"/>
      <x:c r="U492" s="15"/>
      <x:c r="V492" s="15"/>
      <x:c r="W492" s="15"/>
      <x:c r="X492" s="15"/>
      <x:c r="Y492" s="15"/>
      <x:c r="Z492" s="14"/>
    </x:row>
    <x:row r="493" ht="14.399999618530273" customHeight="1">
      <x:c r="A493" s="14"/>
      <x:c r="B493" s="14"/>
      <x:c r="C493" s="14"/>
      <x:c r="D493" s="14"/>
      <x:c r="E493" s="14"/>
      <x:c r="F493" s="14"/>
      <x:c r="G493" s="14"/>
      <x:c r="H493" s="14"/>
      <x:c r="I493" s="14"/>
      <x:c r="J493" s="14"/>
      <x:c r="K493" s="14"/>
      <x:c r="L493" s="14"/>
      <x:c r="M493" s="14"/>
      <x:c r="N493" s="93" t="n">
        <x:f>'Registro de vuelos'!A494</x:f>
        <x:v>0</x:v>
      </x:c>
      <x:c r="O493" s="15" t="n">
        <x:f>'Registro de vuelos'!C494</x:f>
        <x:v>0</x:v>
      </x:c>
      <x:c r="P493" s="15" t="n">
        <x:f>'Registro de vuelos'!E494</x:f>
        <x:v>0</x:v>
      </x:c>
      <x:c r="Q493" s="21" t="n">
        <x:f>'Registro de vuelos'!F494</x:f>
        <x:v>0</x:v>
      </x:c>
      <x:c r="R493" s="21" t="str">
        <x:f>IF(N493="","",IF(AND(COUNTIFS($N$3:$N$502,N493,$O$3:$O$502,O493,$P$3:$P$502,P493,$Q$3:$Q$502,"&gt;"&amp;Q493)=0,COUNTIFS($N$3:N493,N493,$O$3:O493,O493,$P$3:P493,P493,$Q$3:Q493,Q493)=1),1,0))</x:f>
      </x:c>
      <x:c r="S493" s="21" t="n">
        <x:f t="shared" si="9">IF(R493=1,Q493,0)</x:f>
        <x:v>0</x:v>
      </x:c>
      <x:c r="T493" s="15"/>
      <x:c r="U493" s="15"/>
      <x:c r="V493" s="15"/>
      <x:c r="W493" s="15"/>
      <x:c r="X493" s="15"/>
      <x:c r="Y493" s="15"/>
      <x:c r="Z493" s="14"/>
    </x:row>
    <x:row r="494" ht="14.399999618530273" customHeight="1">
      <x:c r="A494" s="14"/>
      <x:c r="B494" s="14"/>
      <x:c r="C494" s="14"/>
      <x:c r="D494" s="14"/>
      <x:c r="E494" s="14"/>
      <x:c r="F494" s="14"/>
      <x:c r="G494" s="14"/>
      <x:c r="H494" s="14"/>
      <x:c r="I494" s="14"/>
      <x:c r="J494" s="14"/>
      <x:c r="K494" s="14"/>
      <x:c r="L494" s="14"/>
      <x:c r="M494" s="14"/>
      <x:c r="N494" s="93" t="n">
        <x:f>'Registro de vuelos'!A495</x:f>
        <x:v>0</x:v>
      </x:c>
      <x:c r="O494" s="15" t="n">
        <x:f>'Registro de vuelos'!C495</x:f>
        <x:v>0</x:v>
      </x:c>
      <x:c r="P494" s="15" t="n">
        <x:f>'Registro de vuelos'!E495</x:f>
        <x:v>0</x:v>
      </x:c>
      <x:c r="Q494" s="21" t="n">
        <x:f>'Registro de vuelos'!F495</x:f>
        <x:v>0</x:v>
      </x:c>
      <x:c r="R494" s="21" t="str">
        <x:f>IF(N494="","",IF(AND(COUNTIFS($N$3:$N$502,N494,$O$3:$O$502,O494,$P$3:$P$502,P494,$Q$3:$Q$502,"&gt;"&amp;Q494)=0,COUNTIFS($N$3:N494,N494,$O$3:O494,O494,$P$3:P494,P494,$Q$3:Q494,Q494)=1),1,0))</x:f>
      </x:c>
      <x:c r="S494" s="21" t="n">
        <x:f t="shared" si="9">IF(R494=1,Q494,0)</x:f>
        <x:v>0</x:v>
      </x:c>
      <x:c r="T494" s="15"/>
      <x:c r="U494" s="15"/>
      <x:c r="V494" s="15"/>
      <x:c r="W494" s="15"/>
      <x:c r="X494" s="15"/>
      <x:c r="Y494" s="15"/>
      <x:c r="Z494" s="14"/>
    </x:row>
    <x:row r="495" ht="14.399999618530273" customHeight="1">
      <x:c r="A495" s="14"/>
      <x:c r="B495" s="14"/>
      <x:c r="C495" s="14"/>
      <x:c r="D495" s="14"/>
      <x:c r="E495" s="14"/>
      <x:c r="F495" s="14"/>
      <x:c r="G495" s="14"/>
      <x:c r="H495" s="14"/>
      <x:c r="I495" s="14"/>
      <x:c r="J495" s="14"/>
      <x:c r="K495" s="14"/>
      <x:c r="L495" s="14"/>
      <x:c r="M495" s="14"/>
      <x:c r="N495" s="93" t="n">
        <x:f>'Registro de vuelos'!A496</x:f>
        <x:v>0</x:v>
      </x:c>
      <x:c r="O495" s="15" t="n">
        <x:f>'Registro de vuelos'!C496</x:f>
        <x:v>0</x:v>
      </x:c>
      <x:c r="P495" s="15" t="n">
        <x:f>'Registro de vuelos'!E496</x:f>
        <x:v>0</x:v>
      </x:c>
      <x:c r="Q495" s="21" t="n">
        <x:f>'Registro de vuelos'!F496</x:f>
        <x:v>0</x:v>
      </x:c>
      <x:c r="R495" s="21" t="str">
        <x:f>IF(N495="","",IF(AND(COUNTIFS($N$3:$N$502,N495,$O$3:$O$502,O495,$P$3:$P$502,P495,$Q$3:$Q$502,"&gt;"&amp;Q495)=0,COUNTIFS($N$3:N495,N495,$O$3:O495,O495,$P$3:P495,P495,$Q$3:Q495,Q495)=1),1,0))</x:f>
      </x:c>
      <x:c r="S495" s="21" t="n">
        <x:f t="shared" si="9">IF(R495=1,Q495,0)</x:f>
        <x:v>0</x:v>
      </x:c>
      <x:c r="T495" s="15"/>
      <x:c r="U495" s="15"/>
      <x:c r="V495" s="15"/>
      <x:c r="W495" s="15"/>
      <x:c r="X495" s="15"/>
      <x:c r="Y495" s="15"/>
      <x:c r="Z495" s="14"/>
    </x:row>
    <x:row r="496" ht="14.399999618530273" customHeight="1">
      <x:c r="A496" s="14"/>
      <x:c r="B496" s="14"/>
      <x:c r="C496" s="14"/>
      <x:c r="D496" s="14"/>
      <x:c r="E496" s="14"/>
      <x:c r="F496" s="14"/>
      <x:c r="G496" s="14"/>
      <x:c r="H496" s="14"/>
      <x:c r="I496" s="14"/>
      <x:c r="J496" s="14"/>
      <x:c r="K496" s="14"/>
      <x:c r="L496" s="14"/>
      <x:c r="M496" s="14"/>
      <x:c r="N496" s="93" t="n">
        <x:f>'Registro de vuelos'!A497</x:f>
        <x:v>0</x:v>
      </x:c>
      <x:c r="O496" s="15" t="n">
        <x:f>'Registro de vuelos'!C497</x:f>
        <x:v>0</x:v>
      </x:c>
      <x:c r="P496" s="15" t="n">
        <x:f>'Registro de vuelos'!E497</x:f>
        <x:v>0</x:v>
      </x:c>
      <x:c r="Q496" s="21" t="n">
        <x:f>'Registro de vuelos'!F497</x:f>
        <x:v>0</x:v>
      </x:c>
      <x:c r="R496" s="21" t="str">
        <x:f>IF(N496="","",IF(AND(COUNTIFS($N$3:$N$502,N496,$O$3:$O$502,O496,$P$3:$P$502,P496,$Q$3:$Q$502,"&gt;"&amp;Q496)=0,COUNTIFS($N$3:N496,N496,$O$3:O496,O496,$P$3:P496,P496,$Q$3:Q496,Q496)=1),1,0))</x:f>
      </x:c>
      <x:c r="S496" s="21" t="n">
        <x:f t="shared" si="9">IF(R496=1,Q496,0)</x:f>
        <x:v>0</x:v>
      </x:c>
      <x:c r="T496" s="15"/>
      <x:c r="U496" s="15"/>
      <x:c r="V496" s="15"/>
      <x:c r="W496" s="15"/>
      <x:c r="X496" s="15"/>
      <x:c r="Y496" s="15"/>
      <x:c r="Z496" s="14"/>
    </x:row>
    <x:row r="497" ht="14.399999618530273" customHeight="1">
      <x:c r="A497" s="14"/>
      <x:c r="B497" s="14"/>
      <x:c r="C497" s="14"/>
      <x:c r="D497" s="14"/>
      <x:c r="E497" s="14"/>
      <x:c r="F497" s="14"/>
      <x:c r="G497" s="14"/>
      <x:c r="H497" s="14"/>
      <x:c r="I497" s="14"/>
      <x:c r="J497" s="14"/>
      <x:c r="K497" s="14"/>
      <x:c r="L497" s="14"/>
      <x:c r="M497" s="14"/>
      <x:c r="N497" s="93" t="n">
        <x:f>'Registro de vuelos'!A498</x:f>
        <x:v>0</x:v>
      </x:c>
      <x:c r="O497" s="15" t="n">
        <x:f>'Registro de vuelos'!C498</x:f>
        <x:v>0</x:v>
      </x:c>
      <x:c r="P497" s="15" t="n">
        <x:f>'Registro de vuelos'!E498</x:f>
        <x:v>0</x:v>
      </x:c>
      <x:c r="Q497" s="21" t="n">
        <x:f>'Registro de vuelos'!F498</x:f>
        <x:v>0</x:v>
      </x:c>
      <x:c r="R497" s="21" t="str">
        <x:f>IF(N497="","",IF(AND(COUNTIFS($N$3:$N$502,N497,$O$3:$O$502,O497,$P$3:$P$502,P497,$Q$3:$Q$502,"&gt;"&amp;Q497)=0,COUNTIFS($N$3:N497,N497,$O$3:O497,O497,$P$3:P497,P497,$Q$3:Q497,Q497)=1),1,0))</x:f>
      </x:c>
      <x:c r="S497" s="21" t="n">
        <x:f t="shared" si="9">IF(R497=1,Q497,0)</x:f>
        <x:v>0</x:v>
      </x:c>
      <x:c r="T497" s="15"/>
      <x:c r="U497" s="15"/>
      <x:c r="V497" s="15"/>
      <x:c r="W497" s="15"/>
      <x:c r="X497" s="15"/>
      <x:c r="Y497" s="15"/>
      <x:c r="Z497" s="14"/>
    </x:row>
    <x:row r="498" ht="14.399999618530273" customHeight="1">
      <x:c r="A498" s="14"/>
      <x:c r="B498" s="14"/>
      <x:c r="C498" s="14"/>
      <x:c r="D498" s="14"/>
      <x:c r="E498" s="14"/>
      <x:c r="F498" s="14"/>
      <x:c r="G498" s="14"/>
      <x:c r="H498" s="14"/>
      <x:c r="I498" s="14"/>
      <x:c r="J498" s="14"/>
      <x:c r="K498" s="14"/>
      <x:c r="L498" s="14"/>
      <x:c r="M498" s="14"/>
      <x:c r="N498" s="93" t="n">
        <x:f>'Registro de vuelos'!A499</x:f>
        <x:v>0</x:v>
      </x:c>
      <x:c r="O498" s="15" t="n">
        <x:f>'Registro de vuelos'!C499</x:f>
        <x:v>0</x:v>
      </x:c>
      <x:c r="P498" s="15" t="n">
        <x:f>'Registro de vuelos'!E499</x:f>
        <x:v>0</x:v>
      </x:c>
      <x:c r="Q498" s="21" t="n">
        <x:f>'Registro de vuelos'!F499</x:f>
        <x:v>0</x:v>
      </x:c>
      <x:c r="R498" s="21" t="str">
        <x:f>IF(N498="","",IF(AND(COUNTIFS($N$3:$N$502,N498,$O$3:$O$502,O498,$P$3:$P$502,P498,$Q$3:$Q$502,"&gt;"&amp;Q498)=0,COUNTIFS($N$3:N498,N498,$O$3:O498,O498,$P$3:P498,P498,$Q$3:Q498,Q498)=1),1,0))</x:f>
      </x:c>
      <x:c r="S498" s="21" t="n">
        <x:f t="shared" si="9">IF(R498=1,Q498,0)</x:f>
        <x:v>0</x:v>
      </x:c>
      <x:c r="T498" s="15"/>
      <x:c r="U498" s="15"/>
      <x:c r="V498" s="15"/>
      <x:c r="W498" s="15"/>
      <x:c r="X498" s="15"/>
      <x:c r="Y498" s="15"/>
      <x:c r="Z498" s="14"/>
    </x:row>
    <x:row r="499" ht="14.399999618530273" customHeight="1">
      <x:c r="A499" s="14"/>
      <x:c r="B499" s="14"/>
      <x:c r="C499" s="14"/>
      <x:c r="D499" s="14"/>
      <x:c r="E499" s="14"/>
      <x:c r="F499" s="14"/>
      <x:c r="G499" s="14"/>
      <x:c r="H499" s="14"/>
      <x:c r="I499" s="14"/>
      <x:c r="J499" s="14"/>
      <x:c r="K499" s="14"/>
      <x:c r="L499" s="14"/>
      <x:c r="M499" s="14"/>
      <x:c r="N499" s="93" t="n">
        <x:f>'Registro de vuelos'!A500</x:f>
        <x:v>0</x:v>
      </x:c>
      <x:c r="O499" s="15" t="n">
        <x:f>'Registro de vuelos'!C500</x:f>
        <x:v>0</x:v>
      </x:c>
      <x:c r="P499" s="15" t="n">
        <x:f>'Registro de vuelos'!E500</x:f>
        <x:v>0</x:v>
      </x:c>
      <x:c r="Q499" s="21" t="n">
        <x:f>'Registro de vuelos'!F500</x:f>
        <x:v>0</x:v>
      </x:c>
      <x:c r="R499" s="21" t="str">
        <x:f>IF(N499="","",IF(AND(COUNTIFS($N$3:$N$502,N499,$O$3:$O$502,O499,$P$3:$P$502,P499,$Q$3:$Q$502,"&gt;"&amp;Q499)=0,COUNTIFS($N$3:N499,N499,$O$3:O499,O499,$P$3:P499,P499,$Q$3:Q499,Q499)=1),1,0))</x:f>
      </x:c>
      <x:c r="S499" s="21" t="n">
        <x:f t="shared" si="9">IF(R499=1,Q499,0)</x:f>
        <x:v>0</x:v>
      </x:c>
      <x:c r="T499" s="15"/>
      <x:c r="U499" s="15"/>
      <x:c r="V499" s="15"/>
      <x:c r="W499" s="15"/>
      <x:c r="X499" s="15"/>
      <x:c r="Y499" s="15"/>
      <x:c r="Z499" s="14"/>
    </x:row>
    <x:row r="500" ht="14.399999618530273" customHeight="1">
      <x:c r="A500" s="14"/>
      <x:c r="B500" s="14"/>
      <x:c r="C500" s="14"/>
      <x:c r="D500" s="14"/>
      <x:c r="E500" s="14"/>
      <x:c r="F500" s="14"/>
      <x:c r="G500" s="14"/>
      <x:c r="H500" s="14"/>
      <x:c r="I500" s="14"/>
      <x:c r="J500" s="14"/>
      <x:c r="K500" s="14"/>
      <x:c r="L500" s="14"/>
      <x:c r="M500" s="14"/>
      <x:c r="N500" s="93" t="n">
        <x:f>'Registro de vuelos'!A501</x:f>
        <x:v>0</x:v>
      </x:c>
      <x:c r="O500" s="15" t="n">
        <x:f>'Registro de vuelos'!C501</x:f>
        <x:v>0</x:v>
      </x:c>
      <x:c r="P500" s="15" t="n">
        <x:f>'Registro de vuelos'!E501</x:f>
        <x:v>0</x:v>
      </x:c>
      <x:c r="Q500" s="21" t="n">
        <x:f>'Registro de vuelos'!F501</x:f>
        <x:v>0</x:v>
      </x:c>
      <x:c r="R500" s="21" t="str">
        <x:f>IF(N500="","",IF(AND(COUNTIFS($N$3:$N$502,N500,$O$3:$O$502,O500,$P$3:$P$502,P500,$Q$3:$Q$502,"&gt;"&amp;Q500)=0,COUNTIFS($N$3:N500,N500,$O$3:O500,O500,$P$3:P500,P500,$Q$3:Q500,Q500)=1),1,0))</x:f>
      </x:c>
      <x:c r="S500" s="21" t="n">
        <x:f t="shared" si="9">IF(R500=1,Q500,0)</x:f>
        <x:v>0</x:v>
      </x:c>
      <x:c r="T500" s="15"/>
      <x:c r="U500" s="15"/>
      <x:c r="V500" s="15"/>
      <x:c r="W500" s="15"/>
      <x:c r="X500" s="15"/>
      <x:c r="Y500" s="15"/>
      <x:c r="Z500" s="14"/>
    </x:row>
    <x:row r="501" ht="14.399999618530273" customHeight="1">
      <x:c r="A501" s="14"/>
      <x:c r="B501" s="14"/>
      <x:c r="C501" s="14"/>
      <x:c r="D501" s="14"/>
      <x:c r="E501" s="14"/>
      <x:c r="F501" s="14"/>
      <x:c r="G501" s="14"/>
      <x:c r="H501" s="14"/>
      <x:c r="I501" s="14"/>
      <x:c r="J501" s="14"/>
      <x:c r="K501" s="14"/>
      <x:c r="L501" s="14"/>
      <x:c r="M501" s="14"/>
      <x:c r="N501" s="93" t="n">
        <x:f>'Registro de vuelos'!A502</x:f>
        <x:v>0</x:v>
      </x:c>
      <x:c r="O501" s="15" t="n">
        <x:f>'Registro de vuelos'!C502</x:f>
        <x:v>0</x:v>
      </x:c>
      <x:c r="P501" s="15" t="n">
        <x:f>'Registro de vuelos'!E502</x:f>
        <x:v>0</x:v>
      </x:c>
      <x:c r="Q501" s="21" t="n">
        <x:f>'Registro de vuelos'!F502</x:f>
        <x:v>0</x:v>
      </x:c>
      <x:c r="R501" s="21" t="str">
        <x:f>IF(N501="","",IF(AND(COUNTIFS($N$3:$N$502,N501,$O$3:$O$502,O501,$P$3:$P$502,P501,$Q$3:$Q$502,"&gt;"&amp;Q501)=0,COUNTIFS($N$3:N501,N501,$O$3:O501,O501,$P$3:P501,P501,$Q$3:Q501,Q501)=1),1,0))</x:f>
      </x:c>
      <x:c r="S501" s="21" t="n">
        <x:f t="shared" si="9">IF(R501=1,Q501,0)</x:f>
        <x:v>0</x:v>
      </x:c>
      <x:c r="T501" s="15"/>
      <x:c r="U501" s="15"/>
      <x:c r="V501" s="15"/>
      <x:c r="W501" s="15"/>
      <x:c r="X501" s="15"/>
      <x:c r="Y501" s="15"/>
      <x:c r="Z501" s="14"/>
    </x:row>
    <x:row r="502" ht="14.399999618530273" customHeight="1">
      <x:c r="A502" s="14"/>
      <x:c r="B502" s="14"/>
      <x:c r="C502" s="14"/>
      <x:c r="D502" s="14"/>
      <x:c r="E502" s="14"/>
      <x:c r="F502" s="14"/>
      <x:c r="G502" s="14"/>
      <x:c r="H502" s="14"/>
      <x:c r="I502" s="14"/>
      <x:c r="J502" s="14"/>
      <x:c r="K502" s="14"/>
      <x:c r="L502" s="14"/>
      <x:c r="M502" s="14"/>
      <x:c r="N502" s="93" t="n">
        <x:f>'Registro de vuelos'!A503</x:f>
        <x:v>0</x:v>
      </x:c>
      <x:c r="O502" s="15" t="n">
        <x:f>'Registro de vuelos'!C503</x:f>
        <x:v>0</x:v>
      </x:c>
      <x:c r="P502" s="15" t="n">
        <x:f>'Registro de vuelos'!E503</x:f>
        <x:v>0</x:v>
      </x:c>
      <x:c r="Q502" s="21" t="n">
        <x:f>'Registro de vuelos'!F503</x:f>
        <x:v>0</x:v>
      </x:c>
      <x:c r="R502" s="21" t="str">
        <x:f>IF(N502="","",IF(AND(COUNTIFS($N$3:$N$502,N502,$O$3:$O$502,O502,$P$3:$P$502,P502,$Q$3:$Q$502,"&gt;"&amp;Q502)=0,COUNTIFS($N$3:N502,N502,$O$3:O502,O502,$P$3:P502,P502,$Q$3:Q502,Q502)=1),1,0))</x:f>
      </x:c>
      <x:c r="S502" s="21" t="n">
        <x:f t="shared" si="9">IF(R502=1,Q502,0)</x:f>
        <x:v>0</x:v>
      </x:c>
      <x:c r="T502" s="15"/>
      <x:c r="U502" s="15"/>
      <x:c r="V502" s="15"/>
      <x:c r="W502" s="15"/>
      <x:c r="X502" s="15"/>
      <x:c r="Y502" s="15"/>
      <x:c r="Z502" s="14"/>
    </x:row>
    <x:row r="503" ht="14.399999618530273" customHeight="1">
      <x:c r="A503" s="14"/>
      <x:c r="B503" s="14"/>
      <x:c r="C503" s="14"/>
      <x:c r="D503" s="14"/>
      <x:c r="E503" s="14"/>
      <x:c r="F503" s="14"/>
      <x:c r="G503" s="14"/>
      <x:c r="H503" s="14"/>
      <x:c r="I503" s="14"/>
      <x:c r="J503" s="14"/>
      <x:c r="K503" s="14"/>
      <x:c r="L503" s="14"/>
      <x:c r="M503" s="14"/>
      <x:c r="N503" s="14"/>
      <x:c r="O503" s="14"/>
      <x:c r="P503" s="14"/>
      <x:c r="Q503" s="14"/>
      <x:c r="R503" s="14"/>
      <x:c r="S503" s="14"/>
      <x:c r="T503" s="14"/>
      <x:c r="U503" s="14"/>
      <x:c r="V503" s="14"/>
      <x:c r="W503" s="14"/>
      <x:c r="X503" s="14"/>
      <x:c r="Y503" s="14"/>
      <x:c r="Z503" s="14"/>
    </x:row>
    <x:row r="504" ht="14.399999618530273" customHeight="1">
      <x:c r="A504" s="14"/>
      <x:c r="B504" s="14"/>
      <x:c r="C504" s="14"/>
      <x:c r="D504" s="14"/>
      <x:c r="E504" s="14"/>
      <x:c r="F504" s="14"/>
      <x:c r="G504" s="14"/>
      <x:c r="H504" s="14"/>
      <x:c r="I504" s="14"/>
      <x:c r="J504" s="14"/>
      <x:c r="K504" s="14"/>
      <x:c r="L504" s="14"/>
      <x:c r="M504" s="14"/>
      <x:c r="N504" s="14"/>
      <x:c r="O504" s="14"/>
      <x:c r="P504" s="14"/>
      <x:c r="Q504" s="14"/>
      <x:c r="R504" s="14"/>
      <x:c r="S504" s="14"/>
      <x:c r="T504" s="14"/>
      <x:c r="U504" s="14"/>
      <x:c r="V504" s="14"/>
      <x:c r="W504" s="14"/>
      <x:c r="X504" s="14"/>
      <x:c r="Y504" s="14"/>
      <x:c r="Z504" s="14"/>
    </x:row>
    <x:row r="505" ht="14.399999618530273" customHeight="1">
      <x:c r="A505" s="14"/>
      <x:c r="B505" s="14"/>
      <x:c r="C505" s="14"/>
      <x:c r="D505" s="14"/>
      <x:c r="E505" s="14"/>
      <x:c r="F505" s="14"/>
      <x:c r="G505" s="14"/>
      <x:c r="H505" s="14"/>
      <x:c r="I505" s="14"/>
      <x:c r="J505" s="14"/>
      <x:c r="K505" s="14"/>
      <x:c r="L505" s="14"/>
      <x:c r="M505" s="14"/>
      <x:c r="N505" s="14"/>
      <x:c r="O505" s="14"/>
      <x:c r="P505" s="14"/>
      <x:c r="Q505" s="14"/>
      <x:c r="R505" s="14"/>
      <x:c r="S505" s="14"/>
      <x:c r="T505" s="14"/>
      <x:c r="U505" s="14"/>
      <x:c r="V505" s="14"/>
      <x:c r="W505" s="14"/>
      <x:c r="X505" s="14"/>
      <x:c r="Y505" s="14"/>
      <x:c r="Z505" s="14"/>
    </x:row>
    <x:row r="506" ht="14.399999618530273" customHeight="1">
      <x:c r="A506" s="14"/>
      <x:c r="B506" s="14"/>
      <x:c r="C506" s="14"/>
      <x:c r="D506" s="14"/>
      <x:c r="E506" s="14"/>
      <x:c r="F506" s="14"/>
      <x:c r="G506" s="14"/>
      <x:c r="H506" s="14"/>
      <x:c r="I506" s="14"/>
      <x:c r="J506" s="14"/>
      <x:c r="K506" s="14"/>
      <x:c r="L506" s="14"/>
      <x:c r="M506" s="14"/>
      <x:c r="N506" s="14"/>
      <x:c r="O506" s="14"/>
      <x:c r="P506" s="14"/>
      <x:c r="Q506" s="14"/>
      <x:c r="R506" s="14"/>
      <x:c r="S506" s="14"/>
      <x:c r="T506" s="14"/>
      <x:c r="U506" s="14"/>
      <x:c r="V506" s="14"/>
      <x:c r="W506" s="14"/>
      <x:c r="X506" s="14"/>
      <x:c r="Y506" s="14"/>
      <x:c r="Z506" s="14"/>
    </x:row>
    <x:row r="507" ht="14.399999618530273" customHeight="1">
      <x:c r="A507" s="14"/>
      <x:c r="B507" s="14"/>
      <x:c r="C507" s="14"/>
      <x:c r="D507" s="14"/>
      <x:c r="E507" s="14"/>
      <x:c r="F507" s="14"/>
      <x:c r="G507" s="14"/>
      <x:c r="H507" s="14"/>
      <x:c r="I507" s="14"/>
      <x:c r="J507" s="14"/>
      <x:c r="K507" s="14"/>
      <x:c r="L507" s="14"/>
      <x:c r="M507" s="14"/>
      <x:c r="N507" s="14"/>
      <x:c r="O507" s="14"/>
      <x:c r="P507" s="14"/>
      <x:c r="Q507" s="14"/>
      <x:c r="R507" s="14"/>
      <x:c r="S507" s="14"/>
      <x:c r="T507" s="14"/>
      <x:c r="U507" s="14"/>
      <x:c r="V507" s="14"/>
      <x:c r="W507" s="14"/>
      <x:c r="X507" s="14"/>
      <x:c r="Y507" s="14"/>
      <x:c r="Z507" s="14"/>
    </x:row>
    <x:row r="508" ht="14.399999618530273" customHeight="1">
      <x:c r="A508" s="14"/>
      <x:c r="B508" s="14"/>
      <x:c r="C508" s="14"/>
      <x:c r="D508" s="14"/>
      <x:c r="E508" s="14"/>
      <x:c r="F508" s="14"/>
      <x:c r="G508" s="14"/>
      <x:c r="H508" s="14"/>
      <x:c r="I508" s="14"/>
      <x:c r="J508" s="14"/>
      <x:c r="K508" s="14"/>
      <x:c r="L508" s="14"/>
      <x:c r="M508" s="14"/>
      <x:c r="N508" s="14"/>
      <x:c r="O508" s="14"/>
      <x:c r="P508" s="14"/>
      <x:c r="Q508" s="14"/>
      <x:c r="R508" s="14"/>
      <x:c r="S508" s="14"/>
      <x:c r="T508" s="14"/>
      <x:c r="U508" s="14"/>
      <x:c r="V508" s="14"/>
      <x:c r="W508" s="14"/>
      <x:c r="X508" s="14"/>
      <x:c r="Y508" s="14"/>
      <x:c r="Z508" s="14"/>
    </x:row>
    <x:row r="509" ht="14.399999618530273" customHeight="1">
      <x:c r="A509" s="14"/>
      <x:c r="B509" s="14"/>
      <x:c r="C509" s="14"/>
      <x:c r="D509" s="14"/>
      <x:c r="E509" s="14"/>
      <x:c r="F509" s="14"/>
      <x:c r="G509" s="14"/>
      <x:c r="H509" s="14"/>
      <x:c r="I509" s="14"/>
      <x:c r="J509" s="14"/>
      <x:c r="K509" s="14"/>
      <x:c r="L509" s="14"/>
      <x:c r="M509" s="14"/>
      <x:c r="N509" s="14"/>
      <x:c r="O509" s="14"/>
      <x:c r="P509" s="14"/>
      <x:c r="Q509" s="14"/>
      <x:c r="R509" s="14"/>
      <x:c r="S509" s="14"/>
      <x:c r="T509" s="14"/>
      <x:c r="U509" s="14"/>
      <x:c r="V509" s="14"/>
      <x:c r="W509" s="14"/>
      <x:c r="X509" s="14"/>
      <x:c r="Y509" s="14"/>
      <x:c r="Z509" s="14"/>
    </x:row>
    <x:row r="510" ht="14.399999618530273" customHeight="1">
      <x:c r="A510" s="14"/>
      <x:c r="B510" s="14"/>
      <x:c r="C510" s="14"/>
      <x:c r="D510" s="14"/>
      <x:c r="E510" s="14"/>
      <x:c r="F510" s="14"/>
      <x:c r="G510" s="14"/>
      <x:c r="H510" s="14"/>
      <x:c r="I510" s="14"/>
      <x:c r="J510" s="14"/>
      <x:c r="K510" s="14"/>
      <x:c r="L510" s="14"/>
      <x:c r="M510" s="14"/>
      <x:c r="N510" s="14"/>
      <x:c r="O510" s="14"/>
      <x:c r="P510" s="14"/>
      <x:c r="Q510" s="14"/>
      <x:c r="R510" s="14"/>
      <x:c r="S510" s="14"/>
      <x:c r="T510" s="14"/>
      <x:c r="U510" s="14"/>
      <x:c r="V510" s="14"/>
      <x:c r="W510" s="14"/>
      <x:c r="X510" s="14"/>
      <x:c r="Y510" s="14"/>
      <x:c r="Z510" s="14"/>
    </x:row>
    <x:row r="511" ht="14.399999618530273" customHeight="1">
      <x:c r="A511" s="14"/>
      <x:c r="B511" s="14"/>
      <x:c r="C511" s="14"/>
      <x:c r="D511" s="14"/>
      <x:c r="E511" s="14"/>
      <x:c r="F511" s="14"/>
      <x:c r="G511" s="14"/>
      <x:c r="H511" s="14"/>
      <x:c r="I511" s="14"/>
      <x:c r="J511" s="14"/>
      <x:c r="K511" s="14"/>
      <x:c r="L511" s="14"/>
      <x:c r="M511" s="14"/>
      <x:c r="N511" s="14"/>
      <x:c r="O511" s="14"/>
      <x:c r="P511" s="14"/>
      <x:c r="Q511" s="14"/>
      <x:c r="R511" s="14"/>
      <x:c r="S511" s="14"/>
      <x:c r="T511" s="14"/>
      <x:c r="U511" s="14"/>
      <x:c r="V511" s="14"/>
      <x:c r="W511" s="14"/>
      <x:c r="X511" s="14"/>
      <x:c r="Y511" s="14"/>
      <x:c r="Z511" s="14"/>
    </x:row>
    <x:row r="512" ht="14.399999618530273" customHeight="1">
      <x:c r="A512" s="14"/>
      <x:c r="B512" s="14"/>
      <x:c r="C512" s="14"/>
      <x:c r="D512" s="14"/>
      <x:c r="E512" s="14"/>
      <x:c r="F512" s="14"/>
      <x:c r="G512" s="14"/>
      <x:c r="H512" s="14"/>
      <x:c r="I512" s="14"/>
      <x:c r="J512" s="14"/>
      <x:c r="K512" s="14"/>
      <x:c r="L512" s="14"/>
      <x:c r="M512" s="14"/>
      <x:c r="N512" s="14"/>
      <x:c r="O512" s="14"/>
      <x:c r="P512" s="14"/>
      <x:c r="Q512" s="14"/>
      <x:c r="R512" s="14"/>
      <x:c r="S512" s="14"/>
      <x:c r="T512" s="14"/>
      <x:c r="U512" s="14"/>
      <x:c r="V512" s="14"/>
      <x:c r="W512" s="14"/>
      <x:c r="X512" s="14"/>
      <x:c r="Y512" s="14"/>
      <x:c r="Z512" s="14"/>
    </x:row>
    <x:row r="513" ht="14.399999618530273" customHeight="1">
      <x:c r="A513" s="14"/>
      <x:c r="B513" s="14"/>
      <x:c r="C513" s="14"/>
      <x:c r="D513" s="14"/>
      <x:c r="E513" s="14"/>
      <x:c r="F513" s="14"/>
      <x:c r="G513" s="14"/>
      <x:c r="H513" s="14"/>
      <x:c r="I513" s="14"/>
      <x:c r="J513" s="14"/>
      <x:c r="K513" s="14"/>
      <x:c r="L513" s="14"/>
      <x:c r="M513" s="14"/>
      <x:c r="N513" s="14"/>
      <x:c r="O513" s="14"/>
      <x:c r="P513" s="14"/>
      <x:c r="Q513" s="14"/>
      <x:c r="R513" s="14"/>
      <x:c r="S513" s="14"/>
      <x:c r="T513" s="14"/>
      <x:c r="U513" s="14"/>
      <x:c r="V513" s="14"/>
      <x:c r="W513" s="14"/>
      <x:c r="X513" s="14"/>
      <x:c r="Y513" s="14"/>
      <x:c r="Z513" s="14"/>
    </x:row>
    <x:row r="514" ht="14.399999618530273" customHeight="1">
      <x:c r="A514" s="14"/>
      <x:c r="B514" s="14"/>
      <x:c r="C514" s="14"/>
      <x:c r="D514" s="14"/>
      <x:c r="E514" s="14"/>
      <x:c r="F514" s="14"/>
      <x:c r="G514" s="14"/>
      <x:c r="H514" s="14"/>
      <x:c r="I514" s="14"/>
      <x:c r="J514" s="14"/>
      <x:c r="K514" s="14"/>
      <x:c r="L514" s="14"/>
      <x:c r="M514" s="14"/>
      <x:c r="N514" s="14"/>
      <x:c r="O514" s="14"/>
      <x:c r="P514" s="14"/>
      <x:c r="Q514" s="14"/>
      <x:c r="R514" s="14"/>
      <x:c r="S514" s="14"/>
      <x:c r="T514" s="14"/>
      <x:c r="U514" s="14"/>
      <x:c r="V514" s="14"/>
      <x:c r="W514" s="14"/>
      <x:c r="X514" s="14"/>
      <x:c r="Y514" s="14"/>
      <x:c r="Z514" s="14"/>
    </x:row>
    <x:row r="515" ht="14.399999618530273" customHeight="1">
      <x:c r="A515" s="14"/>
      <x:c r="B515" s="14"/>
      <x:c r="C515" s="14"/>
      <x:c r="D515" s="14"/>
      <x:c r="E515" s="14"/>
      <x:c r="F515" s="14"/>
      <x:c r="G515" s="14"/>
      <x:c r="H515" s="14"/>
      <x:c r="I515" s="14"/>
      <x:c r="J515" s="14"/>
      <x:c r="K515" s="14"/>
      <x:c r="L515" s="14"/>
      <x:c r="M515" s="14"/>
      <x:c r="N515" s="14"/>
      <x:c r="O515" s="14"/>
      <x:c r="P515" s="14"/>
      <x:c r="Q515" s="14"/>
      <x:c r="R515" s="14"/>
      <x:c r="S515" s="14"/>
      <x:c r="T515" s="14"/>
      <x:c r="U515" s="14"/>
      <x:c r="V515" s="14"/>
      <x:c r="W515" s="14"/>
      <x:c r="X515" s="14"/>
      <x:c r="Y515" s="14"/>
      <x:c r="Z515" s="14"/>
    </x:row>
    <x:row r="516" ht="14.399999618530273" customHeight="1">
      <x:c r="A516" s="14"/>
      <x:c r="B516" s="14"/>
      <x:c r="C516" s="14"/>
      <x:c r="D516" s="14"/>
      <x:c r="E516" s="14"/>
      <x:c r="F516" s="14"/>
      <x:c r="G516" s="14"/>
      <x:c r="H516" s="14"/>
      <x:c r="I516" s="14"/>
      <x:c r="J516" s="14"/>
      <x:c r="K516" s="14"/>
      <x:c r="L516" s="14"/>
      <x:c r="M516" s="14"/>
      <x:c r="N516" s="14"/>
      <x:c r="O516" s="14"/>
      <x:c r="P516" s="14"/>
      <x:c r="Q516" s="14"/>
      <x:c r="R516" s="14"/>
      <x:c r="S516" s="14"/>
      <x:c r="T516" s="14"/>
      <x:c r="U516" s="14"/>
      <x:c r="V516" s="14"/>
      <x:c r="W516" s="14"/>
      <x:c r="X516" s="14"/>
      <x:c r="Y516" s="14"/>
      <x:c r="Z516" s="14"/>
    </x:row>
    <x:row r="517" ht="14.399999618530273" customHeight="1">
      <x:c r="A517" s="14"/>
      <x:c r="B517" s="14"/>
      <x:c r="C517" s="14"/>
      <x:c r="D517" s="14"/>
      <x:c r="E517" s="14"/>
      <x:c r="F517" s="14"/>
      <x:c r="G517" s="14"/>
      <x:c r="H517" s="14"/>
      <x:c r="I517" s="14"/>
      <x:c r="J517" s="14"/>
      <x:c r="K517" s="14"/>
      <x:c r="L517" s="14"/>
      <x:c r="M517" s="14"/>
      <x:c r="N517" s="14"/>
      <x:c r="O517" s="14"/>
      <x:c r="P517" s="14"/>
      <x:c r="Q517" s="14"/>
      <x:c r="R517" s="14"/>
      <x:c r="S517" s="14"/>
      <x:c r="T517" s="14"/>
      <x:c r="U517" s="14"/>
      <x:c r="V517" s="14"/>
      <x:c r="W517" s="14"/>
      <x:c r="X517" s="14"/>
      <x:c r="Y517" s="14"/>
      <x:c r="Z517" s="14"/>
    </x:row>
    <x:row r="518" ht="14.399999618530273" customHeight="1">
      <x:c r="A518" s="14"/>
      <x:c r="B518" s="14"/>
      <x:c r="C518" s="14"/>
      <x:c r="D518" s="14"/>
      <x:c r="E518" s="14"/>
      <x:c r="F518" s="14"/>
      <x:c r="G518" s="14"/>
      <x:c r="H518" s="14"/>
      <x:c r="I518" s="14"/>
      <x:c r="J518" s="14"/>
      <x:c r="K518" s="14"/>
      <x:c r="L518" s="14"/>
      <x:c r="M518" s="14"/>
      <x:c r="N518" s="14"/>
      <x:c r="O518" s="14"/>
      <x:c r="P518" s="14"/>
      <x:c r="Q518" s="14"/>
      <x:c r="R518" s="14"/>
      <x:c r="S518" s="14"/>
      <x:c r="T518" s="14"/>
      <x:c r="U518" s="14"/>
      <x:c r="V518" s="14"/>
      <x:c r="W518" s="14"/>
      <x:c r="X518" s="14"/>
      <x:c r="Y518" s="14"/>
      <x:c r="Z518" s="14"/>
    </x:row>
    <x:row r="519" ht="14.399999618530273" customHeight="1">
      <x:c r="A519" s="14"/>
      <x:c r="B519" s="14"/>
      <x:c r="C519" s="14"/>
      <x:c r="D519" s="14"/>
      <x:c r="E519" s="14"/>
      <x:c r="F519" s="14"/>
      <x:c r="G519" s="14"/>
      <x:c r="H519" s="14"/>
      <x:c r="I519" s="14"/>
      <x:c r="J519" s="14"/>
      <x:c r="K519" s="14"/>
      <x:c r="L519" s="14"/>
      <x:c r="M519" s="14"/>
      <x:c r="N519" s="14"/>
      <x:c r="O519" s="14"/>
      <x:c r="P519" s="14"/>
      <x:c r="Q519" s="14"/>
      <x:c r="R519" s="14"/>
      <x:c r="S519" s="14"/>
      <x:c r="T519" s="14"/>
      <x:c r="U519" s="14"/>
      <x:c r="V519" s="14"/>
      <x:c r="W519" s="14"/>
      <x:c r="X519" s="14"/>
      <x:c r="Y519" s="14"/>
      <x:c r="Z519" s="14"/>
    </x:row>
    <x:row r="520" ht="14.399999618530273" customHeight="1">
      <x:c r="A520" s="14"/>
      <x:c r="B520" s="14"/>
      <x:c r="C520" s="14"/>
      <x:c r="D520" s="14"/>
      <x:c r="E520" s="14"/>
      <x:c r="F520" s="14"/>
      <x:c r="G520" s="14"/>
      <x:c r="H520" s="14"/>
      <x:c r="I520" s="14"/>
      <x:c r="J520" s="14"/>
      <x:c r="K520" s="14"/>
      <x:c r="L520" s="14"/>
      <x:c r="M520" s="14"/>
      <x:c r="N520" s="14"/>
      <x:c r="O520" s="14"/>
      <x:c r="P520" s="14"/>
      <x:c r="Q520" s="14"/>
      <x:c r="R520" s="14"/>
      <x:c r="S520" s="14"/>
      <x:c r="T520" s="14"/>
      <x:c r="U520" s="14"/>
      <x:c r="V520" s="14"/>
      <x:c r="W520" s="14"/>
      <x:c r="X520" s="14"/>
      <x:c r="Y520" s="14"/>
      <x:c r="Z520" s="14"/>
    </x:row>
  </x:sheetData>
  <x:mergeCells>
    <x:mergeCell ref="A1:L1"/>
    <x:mergeCell ref="G34:J34"/>
    <x:mergeCell ref="A33:D33"/>
    <x:mergeCell ref="G33:J33"/>
    <x:mergeCell ref="J9:L9"/>
    <x:mergeCell ref="A32:D32"/>
    <x:mergeCell ref="J10:L12"/>
    <x:mergeCell ref="A4:C4"/>
    <x:mergeCell ref="E31:F31"/>
    <x:mergeCell ref="G36:J36"/>
    <x:mergeCell ref="A5:C7"/>
    <x:mergeCell ref="E34:F34"/>
    <x:mergeCell ref="G5:I7"/>
    <x:mergeCell ref="A9:C9"/>
    <x:mergeCell ref="G9:I9"/>
    <x:mergeCell ref="A10:C12"/>
    <x:mergeCell ref="A30:F30"/>
    <x:mergeCell ref="D10:F12"/>
    <x:mergeCell ref="J5:L7"/>
    <x:mergeCell ref="E32:F32"/>
    <x:mergeCell ref="D4:F4"/>
    <x:mergeCell ref="D9:F9"/>
    <x:mergeCell ref="D5:F7"/>
    <x:mergeCell ref="G4:I4"/>
    <x:mergeCell ref="K31:L31"/>
    <x:mergeCell ref="I2:J2"/>
    <x:mergeCell ref="J4:L4"/>
    <x:mergeCell ref="K36:L36"/>
    <x:mergeCell ref="G32:J32"/>
    <x:mergeCell ref="G30:L30"/>
    <x:mergeCell ref="K35:L35"/>
    <x:mergeCell ref="G31:J31"/>
    <x:mergeCell ref="K32:L32"/>
    <x:mergeCell ref="K2:L2"/>
    <x:mergeCell ref="A2:H2"/>
    <x:mergeCell ref="K34:L34"/>
    <x:mergeCell ref="A35:D35"/>
    <x:mergeCell ref="G35:J35"/>
    <x:mergeCell ref="G10:I12"/>
    <x:mergeCell ref="E33:F33"/>
    <x:mergeCell ref="K33:L33"/>
    <x:mergeCell ref="E35:F35"/>
    <x:mergeCell ref="A31:D31"/>
    <x:mergeCell ref="A34:D34"/>
  </x:mergeCells>
  <x:conditionalFormatting sqref="B5:B5">
    <x:cfRule type="cellIs" dxfId="0" priority="1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115a90e9f56e47a6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10" defaultColWidth="8.796875" defaultRowHeight="13.800000190734863"/>
  <x:cols>
    <x:col min="1" max="1" width="19" customWidth="1"/>
    <x:col min="2" max="3" width="4" customWidth="1"/>
    <x:col min="4" max="4" width="21" customWidth="1"/>
    <x:col min="5" max="6" width="4" customWidth="1"/>
    <x:col min="7" max="7" width="22" customWidth="1"/>
    <x:col min="8" max="9" width="4" customWidth="1"/>
    <x:col min="10" max="10" width="25" customWidth="1"/>
    <x:col min="11" max="15" width="4" customWidth="1"/>
  </x:cols>
  <x:sheetData>
    <x:row r="1" ht="31.950000762939453" customHeight="1">
      <x:c r="A1" s="77" t="str">
        <x:v>MAESTROS | DATOS FICTICIOS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</x:row>
    <x:row r="2" ht="22.950000762939453" customHeight="1">
      <x:c r="A2" s="78"/>
      <x:c r="B2" s="42"/>
      <x:c r="C2" s="42"/>
      <x:c r="D2" s="42"/>
      <x:c r="E2" s="42"/>
      <x:c r="F2" s="42"/>
      <x:c r="G2" s="42"/>
      <x:c r="H2" s="42"/>
      <x:c r="I2" s="42"/>
      <x:c r="J2" s="42"/>
      <x:c r="K2" s="37"/>
      <x:c r="L2" s="37"/>
      <x:c r="M2" s="37"/>
      <x:c r="N2" s="37"/>
      <x:c r="O2" s="37"/>
    </x:row>
    <x:row r="3" s="5" customFormat="1" ht="22.950000762939453" customHeight="1">
      <x:c r="A3" s="38" t="s">
        <x:v>3</x:v>
      </x:c>
      <x:c r="B3" s="10"/>
      <x:c r="C3" s="10"/>
      <x:c r="D3" s="38" t="s">
        <x:v>8</x:v>
      </x:c>
      <x:c r="E3" s="11"/>
      <x:c r="F3" s="11"/>
      <x:c r="G3" s="38" t="s">
        <x:v>5</x:v>
      </x:c>
      <x:c r="H3" s="11"/>
      <x:c r="I3" s="11"/>
      <x:c r="J3" s="38" t="s">
        <x:v>7</x:v>
      </x:c>
      <x:c r="K3" s="11"/>
      <x:c r="L3" s="11"/>
      <x:c r="M3" s="12"/>
      <x:c r="N3" s="2"/>
      <x:c r="O3" s="2"/>
    </x:row>
    <x:row r="4" ht="22.950000762939453" customHeight="1">
      <x:c r="A4" s="39" t="s">
        <x:v>34</x:v>
      </x:c>
      <x:c r="B4" s="11"/>
      <x:c r="C4" s="11"/>
      <x:c r="D4" s="39" t="s">
        <x:v>35</x:v>
      </x:c>
      <x:c r="E4" s="13"/>
      <x:c r="F4" s="13"/>
      <x:c r="G4" s="39" t="str">
        <x:v>Base Norte</x:v>
      </x:c>
      <x:c r="H4" s="13"/>
      <x:c r="I4" s="13"/>
      <x:c r="J4" s="39" t="s">
        <x:v>36</x:v>
      </x:c>
      <x:c r="K4" s="13"/>
      <x:c r="L4" s="13"/>
      <x:c r="M4" s="13"/>
      <x:c r="N4" s="1"/>
      <x:c r="O4" s="1"/>
    </x:row>
    <x:row r="5" ht="22.950000762939453" customHeight="1">
      <x:c r="A5" s="40" t="s">
        <x:v>37</x:v>
      </x:c>
      <x:c r="B5" s="11"/>
      <x:c r="C5" s="11"/>
      <x:c r="D5" s="40" t="s">
        <x:v>38</x:v>
      </x:c>
      <x:c r="E5" s="13"/>
      <x:c r="F5" s="13"/>
      <x:c r="G5" s="13"/>
      <x:c r="H5" s="13"/>
      <x:c r="I5" s="13"/>
      <x:c r="J5" s="40" t="s">
        <x:v>39</x:v>
      </x:c>
      <x:c r="K5" s="13"/>
      <x:c r="L5" s="13"/>
      <x:c r="M5" s="13"/>
      <x:c r="N5" s="1"/>
      <x:c r="O5" s="1"/>
    </x:row>
    <x:row r="6" ht="22.950000762939453" customHeight="1">
      <x:c r="A6" s="11"/>
      <x:c r="B6" s="11"/>
      <x:c r="C6" s="11"/>
      <x:c r="D6" s="39" t="s">
        <x:v>39</x:v>
      </x:c>
      <x:c r="E6" s="13"/>
      <x:c r="F6" s="13"/>
      <x:c r="G6" s="13"/>
      <x:c r="H6" s="13"/>
      <x:c r="I6" s="13"/>
      <x:c r="J6" s="39" t="s">
        <x:v>40</x:v>
      </x:c>
      <x:c r="K6" s="13"/>
      <x:c r="L6" s="13"/>
      <x:c r="M6" s="13"/>
      <x:c r="N6" s="1"/>
      <x:c r="O6" s="1"/>
    </x:row>
    <x:row r="7" ht="22.950000762939453" customHeight="1">
      <x:c r="A7" s="11"/>
      <x:c r="B7" s="11"/>
      <x:c r="C7" s="11"/>
      <x:c r="D7" s="11"/>
      <x:c r="E7" s="13"/>
      <x:c r="F7" s="13"/>
      <x:c r="G7" s="13"/>
      <x:c r="H7" s="13"/>
      <x:c r="I7" s="13"/>
      <x:c r="J7" s="40" t="s">
        <x:v>41</x:v>
      </x:c>
      <x:c r="K7" s="13"/>
      <x:c r="L7" s="13"/>
      <x:c r="M7" s="13"/>
      <x:c r="N7" s="1"/>
      <x:c r="O7" s="1"/>
    </x:row>
    <x:row r="8" ht="22.950000762939453" customHeight="1">
      <x:c r="A8" s="11"/>
      <x:c r="B8" s="11"/>
      <x:c r="C8" s="11"/>
      <x:c r="D8" s="11"/>
      <x:c r="E8" s="13"/>
      <x:c r="F8" s="13"/>
      <x:c r="G8" s="13"/>
      <x:c r="H8" s="13"/>
      <x:c r="I8" s="13"/>
      <x:c r="J8" s="39" t="s">
        <x:v>42</x:v>
      </x:c>
      <x:c r="K8" s="13"/>
      <x:c r="L8" s="13"/>
      <x:c r="M8" s="13"/>
      <x:c r="N8" s="1"/>
      <x:c r="O8" s="1"/>
    </x:row>
    <x:row r="9" ht="22.950000762939453" customHeight="1">
      <x:c r="A9" s="11"/>
      <x:c r="B9" s="11"/>
      <x:c r="C9" s="11"/>
      <x:c r="D9" s="11"/>
      <x:c r="E9" s="13"/>
      <x:c r="F9" s="13"/>
      <x:c r="G9" s="13"/>
      <x:c r="H9" s="13"/>
      <x:c r="I9" s="13"/>
      <x:c r="J9" s="13"/>
      <x:c r="K9" s="13"/>
      <x:c r="L9" s="13"/>
      <x:c r="M9" s="13"/>
      <x:c r="N9" s="1"/>
      <x:c r="O9" s="1"/>
    </x:row>
    <x:row r="10" ht="22.950000762939453" customHeight="1">
      <x:c r="A10" s="11"/>
      <x:c r="B10" s="11"/>
      <x:c r="C10" s="11"/>
      <x:c r="D10" s="11"/>
      <x:c r="E10" s="13"/>
      <x:c r="F10" s="13"/>
      <x:c r="G10" s="13"/>
      <x:c r="H10" s="13"/>
      <x:c r="I10" s="13"/>
      <x:c r="J10" s="13"/>
      <x:c r="K10" s="13"/>
      <x:c r="L10" s="13"/>
      <x:c r="M10" s="13"/>
      <x:c r="N10" s="1"/>
      <x:c r="O10" s="1"/>
    </x:row>
    <x:row r="11" ht="11.100000381469727" customHeight="1">
      <x:c r="A11" s="11"/>
      <x:c r="B11" s="11"/>
      <x:c r="C11" s="11"/>
      <x:c r="D11" s="11"/>
      <x:c r="E11" s="13"/>
      <x:c r="F11" s="13"/>
      <x:c r="G11" s="13"/>
      <x:c r="H11" s="13"/>
      <x:c r="I11" s="13"/>
      <x:c r="J11" s="13"/>
      <x:c r="K11" s="13"/>
      <x:c r="L11" s="13"/>
      <x:c r="M11" s="13"/>
      <x:c r="N11" s="1"/>
      <x:c r="O11" s="1"/>
    </x:row>
    <x:row r="12" ht="11.100000381469727" customHeight="1">
      <x:c r="A12" s="11"/>
      <x:c r="B12" s="11"/>
      <x:c r="C12" s="11"/>
      <x:c r="D12" s="11"/>
      <x:c r="E12" s="13"/>
      <x:c r="F12" s="13"/>
      <x:c r="G12" s="13"/>
      <x:c r="H12" s="13"/>
      <x:c r="I12" s="13"/>
      <x:c r="J12" s="13"/>
      <x:c r="K12" s="13"/>
      <x:c r="L12" s="13"/>
      <x:c r="M12" s="13"/>
      <x:c r="N12" s="1"/>
      <x:c r="O12" s="1"/>
    </x:row>
    <x:row r="13" ht="11.100000381469727" customHeight="1">
      <x:c r="A13" s="11"/>
      <x:c r="B13" s="11"/>
      <x:c r="C13" s="11"/>
      <x:c r="D13" s="11"/>
      <x:c r="E13" s="13"/>
      <x:c r="F13" s="13"/>
      <x:c r="G13" s="13"/>
      <x:c r="H13" s="13"/>
      <x:c r="I13" s="13"/>
      <x:c r="J13" s="13"/>
      <x:c r="K13" s="13"/>
      <x:c r="L13" s="13"/>
      <x:c r="M13" s="13"/>
      <x:c r="N13" s="1"/>
      <x:c r="O13" s="1"/>
    </x:row>
    <x:row r="14" ht="11.100000381469727" customHeight="1">
      <x:c r="A14" s="11"/>
      <x:c r="B14" s="11"/>
      <x:c r="C14" s="11"/>
      <x:c r="D14" s="11"/>
      <x:c r="E14" s="13"/>
      <x:c r="F14" s="13"/>
      <x:c r="G14" s="13"/>
      <x:c r="H14" s="13"/>
      <x:c r="I14" s="13"/>
      <x:c r="J14" s="13"/>
      <x:c r="K14" s="13"/>
      <x:c r="L14" s="13"/>
      <x:c r="M14" s="13"/>
      <x:c r="N14" s="1"/>
      <x:c r="O14" s="1"/>
    </x:row>
    <x:row r="15" ht="14.399999618530273" customHeight="1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"/>
      <x:c r="O15" s="1"/>
    </x:row>
    <x:row r="16" ht="14.399999618530273" customHeight="1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"/>
      <x:c r="O16" s="1"/>
    </x:row>
    <x:row r="17" ht="14.399999618530273" customHeight="1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"/>
      <x:c r="O17" s="1"/>
    </x:row>
    <x:row r="18" ht="14.399999618530273" customHeight="1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"/>
      <x:c r="O18" s="1"/>
    </x:row>
    <x:row r="19" ht="14.399999618530273" customHeight="1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"/>
      <x:c r="O19" s="1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</x:row>
  </x:sheetData>
  <x:mergeCells>
    <x:mergeCell ref="A1:O1"/>
    <x:mergeCell ref="A2:J2"/>
  </x:mergeCells>
  <x:pageMargins left="0.7" right="0.7" top="0.75" bottom="0.75" header="0.3" footer="0.3"/>
  <x:tableParts count="4">
    <x:tablePart xmlns:r="http://schemas.openxmlformats.org/officeDocument/2006/relationships" r:id="Rcf6ca3617c3a4df1"/>
    <x:tablePart xmlns:r="http://schemas.openxmlformats.org/officeDocument/2006/relationships" r:id="R2f988011d1a84906"/>
    <x:tablePart xmlns:r="http://schemas.openxmlformats.org/officeDocument/2006/relationships" r:id="R80094dabfb3044c3"/>
    <x:tablePart xmlns:r="http://schemas.openxmlformats.org/officeDocument/2006/relationships" r:id="R30d6e55cb2364364"/>
  </x:tableParts>
</x:worksheet>
</file>