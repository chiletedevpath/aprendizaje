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7a48b4ec5c41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0fd6922e88224f9c"/>
    <x:sheet xmlns:r="http://schemas.openxmlformats.org/officeDocument/2006/relationships" name="Registro de jornadas" sheetId="2" r:id="Re105e15c847b4d9a"/>
    <x:sheet xmlns:r="http://schemas.openxmlformats.org/officeDocument/2006/relationships" name="Proyectos" sheetId="3" r:id="R0e85add0ac984df3"/>
    <x:sheet xmlns:r="http://schemas.openxmlformats.org/officeDocument/2006/relationships" name="Reto" sheetId="4" r:id="Rf5e8542384ff44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&quot;S/ &quot;#,##0.00"/>
    <x:numFmt numFmtId="201" formatCode="0.0%"/>
    <x:numFmt numFmtId="202" formatCode="&quot;S/ &quot;#,##0"/>
    <x:numFmt numFmtId="203" formatCode="0%"/>
    <x:numFmt numFmtId="204" formatCode="dd/mm/yyyy"/>
    <x:numFmt numFmtId="205" formatCode="0.0"/>
  </x:numFmts>
  <x:fonts count="6">
    <x:font>
      <x:sz val="11"/>
      <x:name val="Carlito"/>
    </x:font>
    <x:font>
      <x:sz val="10"/>
      <x:color rgb="FF172033"/>
      <x:name val="Arial"/>
    </x:font>
    <x:font>
      <x:b/>
      <x:sz val="15"/>
      <x:color rgb="FF172033"/>
      <x:name val="Arial"/>
    </x:font>
    <x:font>
      <x:i/>
      <x:sz val="10"/>
      <x:color rgb="FF52606D"/>
      <x:name val="Arial"/>
    </x:font>
    <x:font>
      <x:b/>
      <x:sz val="10"/>
      <x:color rgb="FFFFFFFF"/>
      <x:name val="Arial"/>
    </x:font>
    <x:font>
      <x:sz val="11"/>
      <x:color rgb="FF17203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200" fontId="5" fillId="3" borderId="3" xfId="0" applyNumberFormat="1" applyFont="1" applyFill="1" applyBorder="1" applyAlignment="1">
      <x:alignment vertical="center"/>
    </x:xf>
    <x:xf numFmtId="201" fontId="5" fillId="3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3" fontId="1" fillId="0" borderId="3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5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4" fontId="1" fillId="4" borderId="3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205" fontId="1" fillId="4" borderId="3" xfId="0" applyNumberFormat="1" applyFont="1" applyFill="1" applyBorder="1" applyAlignment="1">
      <x:alignment vertical="center"/>
    </x:xf>
    <x:xf numFmtId="200" fontId="1" fillId="4" borderId="3" xfId="0" applyNumberFormat="1" applyFont="1" applyFill="1" applyBorder="1" applyAlignment="1">
      <x:alignment vertical="center"/>
    </x:xf>
    <x:xf numFmtId="200" fontId="1" fillId="5" borderId="3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2" fontId="1" fillId="4" borderId="3" xfId="0" applyNumberFormat="1" applyFont="1" applyFill="1" applyBorder="1" applyAlignment="1">
      <x:alignment vertical="center"/>
    </x:xf>
    <x:xf numFmtId="203" fontId="1" fillId="4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1bdbb9e3604cc3" /><Relationship Type="http://schemas.openxmlformats.org/officeDocument/2006/relationships/theme" Target="/xl/theme/theme1.xml" Id="Re56b71ab9c2145bb" /><Relationship Type="http://schemas.openxmlformats.org/officeDocument/2006/relationships/sharedStrings" Target="/xl/sharedStrings.xml" Id="R15248412d34b4aef" /><Relationship Type="http://schemas.openxmlformats.org/officeDocument/2006/relationships/worksheet" Target="/xl/worksheets/sheet1.xml" Id="R0fd6922e88224f9c" /><Relationship Type="http://schemas.openxmlformats.org/officeDocument/2006/relationships/worksheet" Target="/xl/worksheets/sheet2.xml" Id="Re105e15c847b4d9a" /><Relationship Type="http://schemas.openxmlformats.org/officeDocument/2006/relationships/worksheet" Target="/xl/worksheets/sheet3.xml" Id="R0e85add0ac984df3" /><Relationship Type="http://schemas.openxmlformats.org/officeDocument/2006/relationships/worksheet" Target="/xl/worksheets/sheet4.xml" Id="Rf5e8542384ff44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/>
  </x:sheetViews>
  <x:sheetFormatPr defaultRowHeight="15"/>
  <x:cols>
    <x:col min="2" max="2" width="2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2"/>
      <x:c r="B2" s="3" t="str">
        <x:v>Control operativo de obra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/>
      <x:c r="B3" s="4" t="str">
        <x:v>Modelo ficticio para consolidar jornadas, costos y avance de proyectos sin macros.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11" t="str">
        <x:v>Indicador</x:v>
      </x:c>
      <x:c r="C5" s="12" t="str">
        <x:v>Resultado</x:v>
      </x:c>
      <x:c r="D5" s="2"/>
      <x:c r="E5" s="2"/>
      <x:c r="F5" s="2"/>
      <x:c r="G5" s="2"/>
      <x:c r="H5" s="2"/>
      <x:c r="I5" s="2"/>
      <x:c r="J5" s="2"/>
      <x:c r="K5" s="2"/>
      <x:c r="L5" s="2"/>
    </x:row>
    <x:row r="6" ht="22" customHeight="1">
      <x:c r="A6" s="2"/>
      <x:c r="B6" s="15" t="str">
        <x:v>Proyectos activos</x:v>
      </x:c>
      <x:c r="C6" s="15" t="n">
        <x:f>COUNTIF(Proyectos!F6:F10,"Activo")</x:f>
        <x:v>4</x:v>
      </x:c>
      <x:c r="D6" s="2"/>
      <x:c r="E6" s="2"/>
      <x:c r="F6" s="2"/>
      <x:c r="G6" s="2"/>
      <x:c r="H6" s="2"/>
      <x:c r="I6" s="2"/>
      <x:c r="J6" s="2"/>
      <x:c r="K6" s="2"/>
      <x:c r="L6" s="2"/>
    </x:row>
    <x:row r="7" ht="22" customHeight="1">
      <x:c r="A7" s="2"/>
      <x:c r="B7" s="15" t="str">
        <x:v>Costo de jornadas</x:v>
      </x:c>
      <x:c r="C7" s="16" t="n">
        <x:f>SUM('Registro de jornadas'!H6:H17)</x:f>
        <x:v>1552</x:v>
      </x:c>
      <x:c r="D7" s="2"/>
      <x:c r="E7" s="2"/>
      <x:c r="F7" s="2"/>
      <x:c r="G7" s="2"/>
      <x:c r="H7" s="2"/>
      <x:c r="I7" s="2"/>
      <x:c r="J7" s="2"/>
      <x:c r="K7" s="2"/>
      <x:c r="L7" s="2"/>
    </x:row>
    <x:row r="8" ht="22" customHeight="1">
      <x:c r="A8" s="2"/>
      <x:c r="B8" s="15" t="str">
        <x:v>Presupuesto total</x:v>
      </x:c>
      <x:c r="C8" s="16" t="n">
        <x:f>SUM(Proyectos!C6:C10)</x:f>
        <x:v>66500</x:v>
      </x:c>
      <x:c r="D8" s="2"/>
      <x:c r="E8" s="2"/>
      <x:c r="F8" s="2"/>
      <x:c r="G8" s="2"/>
      <x:c r="H8" s="2"/>
      <x:c r="I8" s="2"/>
      <x:c r="J8" s="2"/>
      <x:c r="K8" s="2"/>
      <x:c r="L8" s="2"/>
    </x:row>
    <x:row r="9" ht="22" customHeight="1">
      <x:c r="A9" s="2"/>
      <x:c r="B9" s="15" t="str">
        <x:v>Avance promedio</x:v>
      </x:c>
      <x:c r="C9" s="17" t="n">
        <x:f>AVERAGE(Proyectos!E6:E10)</x:f>
        <x:v>0.704</x:v>
      </x:c>
      <x:c r="D9" s="2"/>
      <x:c r="E9" s="2"/>
      <x:c r="F9" s="2"/>
      <x:c r="G9" s="2"/>
      <x:c r="H9" s="2"/>
      <x:c r="I9" s="2"/>
      <x:c r="J9" s="2"/>
      <x:c r="K9" s="2"/>
      <x:c r="L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2" customHeight="1">
      <x:c r="A12" s="2"/>
      <x:c r="B12" s="21" t="str">
        <x:v>Proyecto</x:v>
      </x:c>
      <x:c r="C12" s="21" t="str">
        <x:v>Presupuesto</x:v>
      </x:c>
      <x:c r="D12" s="21" t="str">
        <x:v>Avance</x:v>
      </x:c>
      <x:c r="E12" s="21" t="str">
        <x:v>Estado</x:v>
      </x:c>
      <x:c r="F12" s="21" t="str">
        <x:v>Costo jornadas</x:v>
      </x:c>
      <x:c r="G12" s="21" t="str">
        <x:v>Saldo estimado</x:v>
      </x:c>
      <x:c r="H12" s="2"/>
      <x:c r="I12" s="2"/>
      <x:c r="J12" s="2"/>
      <x:c r="K12" s="2"/>
      <x:c r="L12" s="2"/>
    </x:row>
    <x:row r="13" ht="22" customHeight="1">
      <x:c r="A13" s="2"/>
      <x:c r="B13" s="22" t="str">
        <x:f>Proyectos!B6</x:f>
        <x:v>Centro Comunitario</x:v>
      </x:c>
      <x:c r="C13" s="23" t="n">
        <x:f>Proyectos!C6</x:f>
        <x:v>18000</x:v>
      </x:c>
      <x:c r="D13" s="24" t="n">
        <x:f>Proyectos!E6</x:f>
        <x:v>0.72</x:v>
      </x:c>
      <x:c r="E13" s="22" t="str">
        <x:f>Proyectos!F6</x:f>
        <x:v>Activo</x:v>
      </x:c>
      <x:c r="F13" s="25" t="n">
        <x:f>SUMIF('Registro de jornadas'!$C$6:$C$17,B13,'Registro de jornadas'!$H$6:$H$17)</x:f>
        <x:v>408</x:v>
      </x:c>
      <x:c r="G13" s="25" t="n">
        <x:f>C13-F13</x:f>
        <x:v>17592</x:v>
      </x:c>
      <x:c r="H13" s="2"/>
      <x:c r="I13" s="2"/>
      <x:c r="J13" s="2"/>
      <x:c r="K13" s="2"/>
      <x:c r="L13" s="2"/>
    </x:row>
    <x:row r="14" ht="22" customHeight="1">
      <x:c r="A14" s="2"/>
      <x:c r="B14" s="22" t="str">
        <x:f>Proyectos!B7</x:f>
        <x:v>Parque Vecinal</x:v>
      </x:c>
      <x:c r="C14" s="23" t="n">
        <x:f>Proyectos!C7</x:f>
        <x:v>12500</x:v>
      </x:c>
      <x:c r="D14" s="24" t="n">
        <x:f>Proyectos!E7</x:f>
        <x:v>0.55</x:v>
      </x:c>
      <x:c r="E14" s="22" t="str">
        <x:f>Proyectos!F7</x:f>
        <x:v>Activo</x:v>
      </x:c>
      <x:c r="F14" s="25" t="n">
        <x:f>SUMIF('Registro de jornadas'!$C$6:$C$17,B14,'Registro de jornadas'!$H$6:$H$17)</x:f>
        <x:v>386</x:v>
      </x:c>
      <x:c r="G14" s="25" t="n">
        <x:f>C14-F14</x:f>
        <x:v>12114</x:v>
      </x:c>
      <x:c r="H14" s="2"/>
      <x:c r="I14" s="2"/>
      <x:c r="J14" s="2"/>
      <x:c r="K14" s="2"/>
      <x:c r="L14" s="2"/>
    </x:row>
    <x:row r="15" ht="22" customHeight="1">
      <x:c r="A15" s="2"/>
      <x:c r="B15" s="22" t="str">
        <x:f>Proyectos!B8</x:f>
        <x:v>Aula Digital</x:v>
      </x:c>
      <x:c r="C15" s="23" t="n">
        <x:f>Proyectos!C8</x:f>
        <x:v>9800</x:v>
      </x:c>
      <x:c r="D15" s="24" t="n">
        <x:f>Proyectos!E8</x:f>
        <x:v>0.9</x:v>
      </x:c>
      <x:c r="E15" s="22" t="str">
        <x:f>Proyectos!F8</x:f>
        <x:v>Activo</x:v>
      </x:c>
      <x:c r="F15" s="25" t="n">
        <x:f>SUMIF('Registro de jornadas'!$C$6:$C$17,B15,'Registro de jornadas'!$H$6:$H$17)</x:f>
        <x:v>288</x:v>
      </x:c>
      <x:c r="G15" s="25" t="n">
        <x:f>C15-F15</x:f>
        <x:v>9512</x:v>
      </x:c>
      <x:c r="H15" s="2"/>
      <x:c r="I15" s="2"/>
      <x:c r="J15" s="2"/>
      <x:c r="K15" s="2"/>
      <x:c r="L15" s="2"/>
    </x:row>
    <x:row r="16" ht="22" customHeight="1">
      <x:c r="A16" s="2"/>
      <x:c r="B16" s="22" t="str">
        <x:f>Proyectos!B9</x:f>
        <x:v>Mercado Local</x:v>
      </x:c>
      <x:c r="C16" s="23" t="n">
        <x:f>Proyectos!C9</x:f>
        <x:v>15000</x:v>
      </x:c>
      <x:c r="D16" s="24" t="n">
        <x:f>Proyectos!E9</x:f>
        <x:v>1</x:v>
      </x:c>
      <x:c r="E16" s="22" t="str">
        <x:f>Proyectos!F9</x:f>
        <x:v>Finalizado</x:v>
      </x:c>
      <x:c r="F16" s="25" t="n">
        <x:f>SUMIF('Registro de jornadas'!$C$6:$C$17,B16,'Registro de jornadas'!$H$6:$H$17)</x:f>
        <x:v>238</x:v>
      </x:c>
      <x:c r="G16" s="25" t="n">
        <x:f>C16-F16</x:f>
        <x:v>14762</x:v>
      </x:c>
      <x:c r="H16" s="2"/>
      <x:c r="I16" s="2"/>
      <x:c r="J16" s="2"/>
      <x:c r="K16" s="2"/>
      <x:c r="L16" s="2"/>
    </x:row>
    <x:row r="17" ht="22" customHeight="1">
      <x:c r="A17" s="2"/>
      <x:c r="B17" s="22" t="str">
        <x:f>Proyectos!B10</x:f>
        <x:v>Alameda Norte</x:v>
      </x:c>
      <x:c r="C17" s="23" t="n">
        <x:f>Proyectos!C10</x:f>
        <x:v>11200</x:v>
      </x:c>
      <x:c r="D17" s="24" t="n">
        <x:f>Proyectos!E10</x:f>
        <x:v>0.35</x:v>
      </x:c>
      <x:c r="E17" s="22" t="str">
        <x:f>Proyectos!F10</x:f>
        <x:v>Activo</x:v>
      </x:c>
      <x:c r="F17" s="25" t="n">
        <x:f>SUMIF('Registro de jornadas'!$C$6:$C$17,B17,'Registro de jornadas'!$H$6:$H$17)</x:f>
        <x:v>232</x:v>
      </x:c>
      <x:c r="G17" s="25" t="n">
        <x:f>C17-F17</x:f>
        <x:v>10968</x:v>
      </x:c>
      <x:c r="H17" s="2"/>
      <x:c r="I17" s="2"/>
      <x:c r="J17" s="2"/>
      <x:c r="K17" s="2"/>
      <x:c r="L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</x:sheetData>
  <x:mergeCells>
    <x:mergeCell ref="B2:G2"/>
    <x:mergeCell ref="B3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25" hidden="0" customWidth="1"/>
    <x:col min="3" max="3" width="23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2"/>
      <x:c r="B2" s="3" t="str">
        <x:v>Registro de jornadas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/>
      <x:c r="B3" s="4" t="str">
        <x:v>Las columnas amarillas son entradas. El costo de cada jornada se calcula automáticamente.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1" t="str">
        <x:v>Fecha</x:v>
      </x:c>
      <x:c r="C5" s="21" t="str">
        <x:v>Proyecto</x:v>
      </x:c>
      <x:c r="D5" s="21" t="str">
        <x:v>Colaborador</x:v>
      </x:c>
      <x:c r="E5" s="21" t="str">
        <x:v>Rol</x:v>
      </x:c>
      <x:c r="F5" s="21" t="str">
        <x:v>Horas</x:v>
      </x:c>
      <x:c r="G5" s="21" t="str">
        <x:v>Tarifa por hora</x:v>
      </x:c>
      <x:c r="H5" s="21" t="str">
        <x:v>Costo jornada</x:v>
      </x:c>
      <x:c r="I5" s="2"/>
      <x:c r="J5" s="2"/>
      <x:c r="K5" s="2"/>
      <x:c r="L5" s="2"/>
    </x:row>
    <x:row r="6" ht="22" customHeight="1">
      <x:c r="A6" s="2"/>
      <x:c r="B6" s="32" t="n">
        <x:v>46237</x:v>
      </x:c>
      <x:c r="C6" s="33" t="str">
        <x:v>Centro Comunitario</x:v>
      </x:c>
      <x:c r="D6" s="33" t="str">
        <x:v>Lucía Torres</x:v>
      </x:c>
      <x:c r="E6" s="33" t="str">
        <x:v>Supervisión</x:v>
      </x:c>
      <x:c r="F6" s="34" t="n">
        <x:v>8</x:v>
      </x:c>
      <x:c r="G6" s="35" t="n">
        <x:v>22</x:v>
      </x:c>
      <x:c r="H6" s="36" t="n">
        <x:f>ROUND(F6*G6,2)</x:f>
        <x:v>176</x:v>
      </x:c>
      <x:c r="I6" s="2"/>
      <x:c r="J6" s="2"/>
      <x:c r="K6" s="2"/>
      <x:c r="L6" s="2"/>
    </x:row>
    <x:row r="7" ht="22" customHeight="1">
      <x:c r="A7" s="2"/>
      <x:c r="B7" s="32" t="n">
        <x:v>46237</x:v>
      </x:c>
      <x:c r="C7" s="33" t="str">
        <x:v>Parque Vecinal</x:v>
      </x:c>
      <x:c r="D7" s="33" t="str">
        <x:v>Diego Ramos</x:v>
      </x:c>
      <x:c r="E7" s="33" t="str">
        <x:v>Operación</x:v>
      </x:c>
      <x:c r="F7" s="34" t="n">
        <x:v>8</x:v>
      </x:c>
      <x:c r="G7" s="35" t="n">
        <x:v>16</x:v>
      </x:c>
      <x:c r="H7" s="36" t="n">
        <x:f>ROUND(F7*G7,2)</x:f>
        <x:v>128</x:v>
      </x:c>
      <x:c r="I7" s="2"/>
      <x:c r="J7" s="2"/>
      <x:c r="K7" s="2"/>
      <x:c r="L7" s="2"/>
    </x:row>
    <x:row r="8" ht="22" customHeight="1">
      <x:c r="A8" s="2"/>
      <x:c r="B8" s="32" t="n">
        <x:v>46238</x:v>
      </x:c>
      <x:c r="C8" s="33" t="str">
        <x:v>Centro Comunitario</x:v>
      </x:c>
      <x:c r="D8" s="33" t="str">
        <x:v>Mateo Silva</x:v>
      </x:c>
      <x:c r="E8" s="33" t="str">
        <x:v>Operación</x:v>
      </x:c>
      <x:c r="F8" s="34" t="n">
        <x:v>7.5</x:v>
      </x:c>
      <x:c r="G8" s="35" t="n">
        <x:v>16</x:v>
      </x:c>
      <x:c r="H8" s="36" t="n">
        <x:f>ROUND(F8*G8,2)</x:f>
        <x:v>120</x:v>
      </x:c>
      <x:c r="I8" s="2"/>
      <x:c r="J8" s="2"/>
      <x:c r="K8" s="2"/>
      <x:c r="L8" s="2"/>
    </x:row>
    <x:row r="9" ht="22" customHeight="1">
      <x:c r="A9" s="2"/>
      <x:c r="B9" s="32" t="n">
        <x:v>46238</x:v>
      </x:c>
      <x:c r="C9" s="33" t="str">
        <x:v>Aula Digital</x:v>
      </x:c>
      <x:c r="D9" s="33" t="str">
        <x:v>Valeria Cruz</x:v>
      </x:c>
      <x:c r="E9" s="33" t="str">
        <x:v>Instalación</x:v>
      </x:c>
      <x:c r="F9" s="34" t="n">
        <x:v>8</x:v>
      </x:c>
      <x:c r="G9" s="35" t="n">
        <x:v>18</x:v>
      </x:c>
      <x:c r="H9" s="36" t="n">
        <x:f>ROUND(F9*G9,2)</x:f>
        <x:v>144</x:v>
      </x:c>
      <x:c r="I9" s="2"/>
      <x:c r="J9" s="2"/>
      <x:c r="K9" s="2"/>
      <x:c r="L9" s="2"/>
    </x:row>
    <x:row r="10" ht="22" customHeight="1">
      <x:c r="A10" s="2"/>
      <x:c r="B10" s="32" t="n">
        <x:v>46239</x:v>
      </x:c>
      <x:c r="C10" s="33" t="str">
        <x:v>Parque Vecinal</x:v>
      </x:c>
      <x:c r="D10" s="33" t="str">
        <x:v>Lucía Torres</x:v>
      </x:c>
      <x:c r="E10" s="33" t="str">
        <x:v>Supervisión</x:v>
      </x:c>
      <x:c r="F10" s="34" t="n">
        <x:v>6</x:v>
      </x:c>
      <x:c r="G10" s="35" t="n">
        <x:v>22</x:v>
      </x:c>
      <x:c r="H10" s="36" t="n">
        <x:f>ROUND(F10*G10,2)</x:f>
        <x:v>132</x:v>
      </x:c>
      <x:c r="I10" s="2"/>
      <x:c r="J10" s="2"/>
      <x:c r="K10" s="2"/>
      <x:c r="L10" s="2"/>
    </x:row>
    <x:row r="11" ht="22" customHeight="1">
      <x:c r="A11" s="2"/>
      <x:c r="B11" s="32" t="n">
        <x:v>46239</x:v>
      </x:c>
      <x:c r="C11" s="33" t="str">
        <x:v>Mercado Local</x:v>
      </x:c>
      <x:c r="D11" s="33" t="str">
        <x:v>Diego Ramos</x:v>
      </x:c>
      <x:c r="E11" s="33" t="str">
        <x:v>Operación</x:v>
      </x:c>
      <x:c r="F11" s="34" t="n">
        <x:v>8</x:v>
      </x:c>
      <x:c r="G11" s="35" t="n">
        <x:v>16</x:v>
      </x:c>
      <x:c r="H11" s="36" t="n">
        <x:f>ROUND(F11*G11,2)</x:f>
        <x:v>128</x:v>
      </x:c>
      <x:c r="I11" s="2"/>
      <x:c r="J11" s="2"/>
      <x:c r="K11" s="2"/>
      <x:c r="L11" s="2"/>
    </x:row>
    <x:row r="12" ht="22" customHeight="1">
      <x:c r="A12" s="2"/>
      <x:c r="B12" s="32" t="n">
        <x:v>46240</x:v>
      </x:c>
      <x:c r="C12" s="33" t="str">
        <x:v>Aula Digital</x:v>
      </x:c>
      <x:c r="D12" s="33" t="str">
        <x:v>Mateo Silva</x:v>
      </x:c>
      <x:c r="E12" s="33" t="str">
        <x:v>Instalación</x:v>
      </x:c>
      <x:c r="F12" s="34" t="n">
        <x:v>8</x:v>
      </x:c>
      <x:c r="G12" s="35" t="n">
        <x:v>18</x:v>
      </x:c>
      <x:c r="H12" s="36" t="n">
        <x:f>ROUND(F12*G12,2)</x:f>
        <x:v>144</x:v>
      </x:c>
      <x:c r="I12" s="2"/>
      <x:c r="J12" s="2"/>
      <x:c r="K12" s="2"/>
      <x:c r="L12" s="2"/>
    </x:row>
    <x:row r="13" ht="22" customHeight="1">
      <x:c r="A13" s="2"/>
      <x:c r="B13" s="32" t="n">
        <x:v>46240</x:v>
      </x:c>
      <x:c r="C13" s="33" t="str">
        <x:v>Centro Comunitario</x:v>
      </x:c>
      <x:c r="D13" s="33" t="str">
        <x:v>Valeria Cruz</x:v>
      </x:c>
      <x:c r="E13" s="33" t="str">
        <x:v>Operación</x:v>
      </x:c>
      <x:c r="F13" s="34" t="n">
        <x:v>7</x:v>
      </x:c>
      <x:c r="G13" s="35" t="n">
        <x:v>16</x:v>
      </x:c>
      <x:c r="H13" s="36" t="n">
        <x:f>ROUND(F13*G13,2)</x:f>
        <x:v>112</x:v>
      </x:c>
      <x:c r="I13" s="2"/>
      <x:c r="J13" s="2"/>
      <x:c r="K13" s="2"/>
      <x:c r="L13" s="2"/>
    </x:row>
    <x:row r="14" ht="22" customHeight="1">
      <x:c r="A14" s="2"/>
      <x:c r="B14" s="32" t="n">
        <x:v>46241</x:v>
      </x:c>
      <x:c r="C14" s="33" t="str">
        <x:v>Mercado Local</x:v>
      </x:c>
      <x:c r="D14" s="33" t="str">
        <x:v>Lucía Torres</x:v>
      </x:c>
      <x:c r="E14" s="33" t="str">
        <x:v>Supervisión</x:v>
      </x:c>
      <x:c r="F14" s="34" t="n">
        <x:v>5</x:v>
      </x:c>
      <x:c r="G14" s="35" t="n">
        <x:v>22</x:v>
      </x:c>
      <x:c r="H14" s="36" t="n">
        <x:f>ROUND(F14*G14,2)</x:f>
        <x:v>110</x:v>
      </x:c>
      <x:c r="I14" s="2"/>
      <x:c r="J14" s="2"/>
      <x:c r="K14" s="2"/>
      <x:c r="L14" s="2"/>
    </x:row>
    <x:row r="15" ht="22" customHeight="1">
      <x:c r="A15" s="2"/>
      <x:c r="B15" s="32" t="n">
        <x:v>46241</x:v>
      </x:c>
      <x:c r="C15" s="33" t="str">
        <x:v>Alameda Norte</x:v>
      </x:c>
      <x:c r="D15" s="33" t="str">
        <x:v>Diego Ramos</x:v>
      </x:c>
      <x:c r="E15" s="33" t="str">
        <x:v>Operación</x:v>
      </x:c>
      <x:c r="F15" s="34" t="n">
        <x:v>8</x:v>
      </x:c>
      <x:c r="G15" s="35" t="n">
        <x:v>16</x:v>
      </x:c>
      <x:c r="H15" s="36" t="n">
        <x:f>ROUND(F15*G15,2)</x:f>
        <x:v>128</x:v>
      </x:c>
      <x:c r="I15" s="2"/>
      <x:c r="J15" s="2"/>
      <x:c r="K15" s="2"/>
      <x:c r="L15" s="2"/>
    </x:row>
    <x:row r="16" ht="22" customHeight="1">
      <x:c r="A16" s="2"/>
      <x:c r="B16" s="32" t="n">
        <x:v>46242</x:v>
      </x:c>
      <x:c r="C16" s="33" t="str">
        <x:v>Alameda Norte</x:v>
      </x:c>
      <x:c r="D16" s="33" t="str">
        <x:v>Mateo Silva</x:v>
      </x:c>
      <x:c r="E16" s="33" t="str">
        <x:v>Operación</x:v>
      </x:c>
      <x:c r="F16" s="34" t="n">
        <x:v>6.5</x:v>
      </x:c>
      <x:c r="G16" s="35" t="n">
        <x:v>16</x:v>
      </x:c>
      <x:c r="H16" s="36" t="n">
        <x:f>ROUND(F16*G16,2)</x:f>
        <x:v>104</x:v>
      </x:c>
      <x:c r="I16" s="2"/>
      <x:c r="J16" s="2"/>
      <x:c r="K16" s="2"/>
      <x:c r="L16" s="2"/>
    </x:row>
    <x:row r="17" ht="22" customHeight="1">
      <x:c r="A17" s="2"/>
      <x:c r="B17" s="32" t="n">
        <x:v>46242</x:v>
      </x:c>
      <x:c r="C17" s="33" t="str">
        <x:v>Parque Vecinal</x:v>
      </x:c>
      <x:c r="D17" s="33" t="str">
        <x:v>Valeria Cruz</x:v>
      </x:c>
      <x:c r="E17" s="33" t="str">
        <x:v>Instalación</x:v>
      </x:c>
      <x:c r="F17" s="34" t="n">
        <x:v>7</x:v>
      </x:c>
      <x:c r="G17" s="35" t="n">
        <x:v>18</x:v>
      </x:c>
      <x:c r="H17" s="36" t="n">
        <x:f>ROUND(F17*G17,2)</x:f>
        <x:v>126</x:v>
      </x:c>
      <x:c r="I17" s="2"/>
      <x:c r="J17" s="2"/>
      <x:c r="K17" s="2"/>
      <x:c r="L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</x:sheetData>
  <x:mergeCells>
    <x:mergeCell ref="B2:H2"/>
    <x:mergeCell ref="B3:H3"/>
  </x:mergeCells>
  <x:dataValidations count="1">
    <x:dataValidation type="list" sqref="E6:E17">
      <x:formula1>"Supervisión,Operación,Instalación"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2"/>
      <x:c r="B2" s="3" t="str">
        <x:v>Proyectos y presupuesto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/>
      <x:c r="B3" s="4" t="str">
        <x:v>Actualiza las entradas amarillas y revisa el efecto en el resumen.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1" t="str">
        <x:v>Proyecto</x:v>
      </x:c>
      <x:c r="C5" s="21" t="str">
        <x:v>Presupuesto</x:v>
      </x:c>
      <x:c r="D5" s="21" t="str">
        <x:v>Responsable</x:v>
      </x:c>
      <x:c r="E5" s="21" t="str">
        <x:v>Avance</x:v>
      </x:c>
      <x:c r="F5" s="21" t="str">
        <x:v>Estado</x:v>
      </x:c>
      <x:c r="G5" s="2"/>
      <x:c r="H5" s="2"/>
      <x:c r="I5" s="2"/>
      <x:c r="J5" s="2"/>
      <x:c r="K5" s="2"/>
      <x:c r="L5" s="2"/>
    </x:row>
    <x:row r="6" ht="22" customHeight="1">
      <x:c r="A6" s="2"/>
      <x:c r="B6" s="33" t="str">
        <x:v>Centro Comunitario</x:v>
      </x:c>
      <x:c r="C6" s="39" t="n">
        <x:v>18000</x:v>
      </x:c>
      <x:c r="D6" s="33" t="str">
        <x:v>Lucía Torres</x:v>
      </x:c>
      <x:c r="E6" s="40" t="n">
        <x:v>0.72</x:v>
      </x:c>
      <x:c r="F6" s="33" t="str">
        <x:v>Activo</x:v>
      </x:c>
      <x:c r="G6" s="2"/>
      <x:c r="H6" s="2"/>
      <x:c r="I6" s="2"/>
      <x:c r="J6" s="2"/>
      <x:c r="K6" s="2"/>
      <x:c r="L6" s="2"/>
    </x:row>
    <x:row r="7" ht="22" customHeight="1">
      <x:c r="A7" s="2"/>
      <x:c r="B7" s="33" t="str">
        <x:v>Parque Vecinal</x:v>
      </x:c>
      <x:c r="C7" s="39" t="n">
        <x:v>12500</x:v>
      </x:c>
      <x:c r="D7" s="33" t="str">
        <x:v>Diego Ramos</x:v>
      </x:c>
      <x:c r="E7" s="40" t="n">
        <x:v>0.55</x:v>
      </x:c>
      <x:c r="F7" s="33" t="str">
        <x:v>Activo</x:v>
      </x:c>
      <x:c r="G7" s="2"/>
      <x:c r="H7" s="2"/>
      <x:c r="I7" s="2"/>
      <x:c r="J7" s="2"/>
      <x:c r="K7" s="2"/>
      <x:c r="L7" s="2"/>
    </x:row>
    <x:row r="8" ht="22" customHeight="1">
      <x:c r="A8" s="2"/>
      <x:c r="B8" s="33" t="str">
        <x:v>Aula Digital</x:v>
      </x:c>
      <x:c r="C8" s="39" t="n">
        <x:v>9800</x:v>
      </x:c>
      <x:c r="D8" s="33" t="str">
        <x:v>Valeria Cruz</x:v>
      </x:c>
      <x:c r="E8" s="40" t="n">
        <x:v>0.9</x:v>
      </x:c>
      <x:c r="F8" s="33" t="str">
        <x:v>Activo</x:v>
      </x:c>
      <x:c r="G8" s="2"/>
      <x:c r="H8" s="2"/>
      <x:c r="I8" s="2"/>
      <x:c r="J8" s="2"/>
      <x:c r="K8" s="2"/>
      <x:c r="L8" s="2"/>
    </x:row>
    <x:row r="9" ht="22" customHeight="1">
      <x:c r="A9" s="2"/>
      <x:c r="B9" s="33" t="str">
        <x:v>Mercado Local</x:v>
      </x:c>
      <x:c r="C9" s="39" t="n">
        <x:v>15000</x:v>
      </x:c>
      <x:c r="D9" s="33" t="str">
        <x:v>Mateo Silva</x:v>
      </x:c>
      <x:c r="E9" s="40" t="n">
        <x:v>1</x:v>
      </x:c>
      <x:c r="F9" s="33" t="str">
        <x:v>Finalizado</x:v>
      </x:c>
      <x:c r="G9" s="2"/>
      <x:c r="H9" s="2"/>
      <x:c r="I9" s="2"/>
      <x:c r="J9" s="2"/>
      <x:c r="K9" s="2"/>
      <x:c r="L9" s="2"/>
    </x:row>
    <x:row r="10" ht="22" customHeight="1">
      <x:c r="A10" s="2"/>
      <x:c r="B10" s="33" t="str">
        <x:v>Alameda Norte</x:v>
      </x:c>
      <x:c r="C10" s="39" t="n">
        <x:v>11200</x:v>
      </x:c>
      <x:c r="D10" s="33" t="str">
        <x:v>Diego Ramos</x:v>
      </x:c>
      <x:c r="E10" s="40" t="n">
        <x:v>0.35</x:v>
      </x:c>
      <x:c r="F10" s="33" t="str">
        <x:v>Activo</x:v>
      </x:c>
      <x:c r="G10" s="2"/>
      <x:c r="H10" s="2"/>
      <x:c r="I10" s="2"/>
      <x:c r="J10" s="2"/>
      <x:c r="K10" s="2"/>
      <x:c r="L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</x:sheetData>
  <x:mergeCells>
    <x:mergeCell ref="B2:F2"/>
    <x:mergeCell ref="B3:F3"/>
  </x:mergeCells>
  <x:dataValidations count="1">
    <x:dataValidation type="list" sqref="F6:F10">
      <x:formula1>"Planificado,Activo,Finalizado"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D97706"/>
  </x:sheetPr>
  <x:sheetViews>
    <x:sheetView showGridLines="0" workbookViewId="0"/>
  </x:sheetViews>
  <x:sheetFormatPr defaultRowHeight="15"/>
  <x:cols>
    <x:col min="2" max="2" width="2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2"/>
      <x:c r="B2" s="3" t="str">
        <x:v>Reto: amplía el control operativo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 t="str">
        <x:v>1. Agrega tres jornadas nuevas y comprueba el costo total.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 t="str">
        <x:v>2. Calcula el costo por proyecto con SUMAR.SI o SUMIF.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2" customHeight="1">
      <x:c r="A6" s="2"/>
      <x:c r="B6" s="2" t="str">
        <x:v>3. Identifica el proyecto con menor saldo disponible.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2" customHeight="1">
      <x:c r="A7" s="2"/>
      <x:c r="B7" s="2" t="str">
        <x:v>4. Crea un gráfico que compare presupuesto y costo de jornadas.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2" customHeight="1">
      <x:c r="A9" s="2"/>
      <x:c r="B9" s="21" t="str">
        <x:v>Comprobación</x:v>
      </x:c>
      <x:c r="C9" s="21" t="str">
        <x:v>Resultado</x:v>
      </x:c>
      <x:c r="D9" s="2"/>
      <x:c r="E9" s="2"/>
      <x:c r="F9" s="2"/>
      <x:c r="G9" s="2"/>
      <x:c r="H9" s="2"/>
      <x:c r="I9" s="2"/>
      <x:c r="J9" s="2"/>
      <x:c r="K9" s="2"/>
      <x:c r="L9" s="2"/>
    </x:row>
    <x:row r="10" ht="22" customHeight="1">
      <x:c r="A10" s="2"/>
      <x:c r="B10" s="22" t="str">
        <x:v>Las jornadas tienen costo</x:v>
      </x:c>
      <x:c r="C10" s="33" t="str">
        <x:v>Pendiente</x:v>
      </x:c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2" customHeight="1">
      <x:c r="A11" s="2"/>
      <x:c r="B11" s="22" t="str">
        <x:v>El resumen se actualiza</x:v>
      </x:c>
      <x:c r="C11" s="33" t="str">
        <x:v>Pendiente</x:v>
      </x:c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2" customHeight="1">
      <x:c r="A12" s="2"/>
      <x:c r="B12" s="22" t="str">
        <x:v>No hay referencias rotas</x:v>
      </x:c>
      <x:c r="C12" s="33" t="str">
        <x:v>Pendiente</x:v>
      </x:c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2" customHeight="1">
      <x:c r="A13" s="2"/>
      <x:c r="B13" s="22" t="str">
        <x:v>El gráfico usa datos calculados</x:v>
      </x:c>
      <x:c r="C13" s="33" t="str">
        <x:v>Pendiente</x:v>
      </x:c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</x:sheetData>
  <x:mergeCells>
    <x:mergeCell ref="B2:H2"/>
    <x:mergeCell ref="B4:H4"/>
    <x:mergeCell ref="B5:H5"/>
    <x:mergeCell ref="B6:H6"/>
    <x:mergeCell ref="B7:H7"/>
  </x:mergeCells>
  <x:dataValidations count="1">
    <x:dataValidation type="list" sqref="C10:C13">
      <x:formula1>"Pendiente,Completado"</x:formula1>
    </x:dataValidation>
  </x:dataValidations>
  <x:pageMargins left="0.7" right="0.7" top="0.75" bottom="0.75" header="0.3" footer="0.3"/>
</x:worksheet>
</file>