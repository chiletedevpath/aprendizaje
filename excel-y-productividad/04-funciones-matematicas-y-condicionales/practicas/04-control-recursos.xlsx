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a9a76d0ea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a resuelta" sheetId="1" r:id="R34a086d73c734798"/>
    <x:sheet xmlns:r="http://schemas.openxmlformats.org/officeDocument/2006/relationships" name="Reto" sheetId="2" r:id="R3adc8d2ea991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 &quot;#,##0.00"/>
  </x:numFmts>
  <x:fonts count="7">
    <x:font>
      <x:sz val="11"/>
      <x:name val="Carlito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sz val="9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5">
    <x:border/>
    <x:border>
      <x:bottom style="thin">
        <x:color rgb="FF2F75B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e002d38024503" /><Relationship Type="http://schemas.openxmlformats.org/officeDocument/2006/relationships/theme" Target="/xl/theme/theme1.xml" Id="R77a0bfcacfca492d" /><Relationship Type="http://schemas.openxmlformats.org/officeDocument/2006/relationships/sharedStrings" Target="/xl/sharedStrings.xml" Id="R2395704296f74982" /><Relationship Type="http://schemas.openxmlformats.org/officeDocument/2006/relationships/worksheet" Target="/xl/worksheets/sheet1.xml" Id="R34a086d73c734798" /><Relationship Type="http://schemas.openxmlformats.org/officeDocument/2006/relationships/worksheet" Target="/xl/worksheets/sheet2.xml" Id="R3adc8d2ea9914f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2" ht="26" customHeight="1">
      <x:c r="A2" s="2" t="str">
        <x:v>Control de recursos del laboratorio</x:v>
      </x:c>
      <x:c r="B2" s="2"/>
      <x:c r="C2" s="2"/>
      <x:c r="D2" s="2"/>
      <x:c r="E2" s="2"/>
      <x:c r="F2" s="2"/>
      <x:c r="G2" s="2"/>
      <x:c r="H2" s="2"/>
    </x:row>
    <x:row r="3" ht="30" customHeight="1">
      <x:c r="A3" s="5" t="str">
        <x:v>Practica SUM, PRODUCT, ROUND y SUMIFS sobre una tabla pequeña y rastreable.</x:v>
      </x:c>
      <x:c r="B3" s="5"/>
      <x:c r="C3" s="5"/>
      <x:c r="D3" s="5"/>
      <x:c r="E3" s="5"/>
      <x:c r="F3" s="5"/>
      <x:c r="G3" s="5"/>
      <x:c r="H3" s="5"/>
    </x:row>
    <x:row r="4" ht="22" customHeight="1">
      <x:c r="A4" s="7" t="str">
        <x:v>Contenido original de Chilete DevPath. Autor: Adrian Pisco. Datos ficticios para práctica académica.</x:v>
      </x:c>
      <x:c r="B4" s="7"/>
      <x:c r="C4" s="7"/>
      <x:c r="D4" s="7"/>
      <x:c r="E4" s="7"/>
      <x:c r="F4" s="7"/>
      <x:c r="G4" s="7"/>
      <x:c r="H4" s="7"/>
    </x:row>
    <x:row r="5">
      <x:c r="A5" s="8"/>
      <x:c r="B5" s="8"/>
      <x:c r="C5" s="8"/>
      <x:c r="D5" s="8"/>
      <x:c r="E5" s="8"/>
      <x:c r="F5" s="8"/>
      <x:c r="G5" s="8"/>
      <x:c r="H5" s="8"/>
    </x:row>
    <x:row r="7" ht="25" customHeight="1">
      <x:c r="A7" s="16" t="str">
        <x:v>Categoría</x:v>
      </x:c>
      <x:c r="B7" s="17" t="str">
        <x:v>Recurso</x:v>
      </x:c>
      <x:c r="C7" s="17" t="str">
        <x:v>Cantidad</x:v>
      </x:c>
      <x:c r="D7" s="17" t="str">
        <x:v>Costo unitario</x:v>
      </x:c>
      <x:c r="E7" s="17" t="str">
        <x:v>Costo</x:v>
      </x:c>
      <x:c r="F7" s="18" t="str">
        <x:v>Costo redondeado</x:v>
      </x:c>
    </x:row>
    <x:row r="8">
      <x:c r="A8" s="10" t="str">
        <x:v>Equipo</x:v>
      </x:c>
      <x:c r="B8" s="10" t="str">
        <x:v>Teclado</x:v>
      </x:c>
      <x:c r="C8" s="10" t="n">
        <x:v>6</x:v>
      </x:c>
      <x:c r="D8" s="19" t="n">
        <x:v>82.5</x:v>
      </x:c>
      <x:c r="E8" s="19" t="n">
        <x:f>PRODUCT(C8:D8)</x:f>
        <x:v>495</x:v>
      </x:c>
      <x:c r="F8" s="19" t="n">
        <x:f>ROUND(E8,0)</x:f>
        <x:v>495</x:v>
      </x:c>
    </x:row>
    <x:row r="9">
      <x:c r="A9" s="10" t="str">
        <x:v>Equipo</x:v>
      </x:c>
      <x:c r="B9" s="10" t="str">
        <x:v>Mouse</x:v>
      </x:c>
      <x:c r="C9" s="10" t="n">
        <x:v>6</x:v>
      </x:c>
      <x:c r="D9" s="19" t="n">
        <x:v>44.9</x:v>
      </x:c>
      <x:c r="E9" s="19" t="n">
        <x:f>PRODUCT(C9:D9)</x:f>
        <x:v>269.4</x:v>
      </x:c>
      <x:c r="F9" s="19" t="n">
        <x:f>ROUND(E9,0)</x:f>
        <x:v>269</x:v>
      </x:c>
    </x:row>
    <x:row r="10">
      <x:c r="A10" s="10" t="str">
        <x:v>Cableado</x:v>
      </x:c>
      <x:c r="B10" s="10" t="str">
        <x:v>Cable HDMI</x:v>
      </x:c>
      <x:c r="C10" s="10" t="n">
        <x:v>4</x:v>
      </x:c>
      <x:c r="D10" s="19" t="n">
        <x:v>29.7</x:v>
      </x:c>
      <x:c r="E10" s="19" t="n">
        <x:f>PRODUCT(C10:D10)</x:f>
        <x:v>118.8</x:v>
      </x:c>
      <x:c r="F10" s="19" t="n">
        <x:f>ROUND(E10,0)</x:f>
        <x:v>119</x:v>
      </x:c>
    </x:row>
    <x:row r="11">
      <x:c r="A11" s="10" t="str">
        <x:v>Cableado</x:v>
      </x:c>
      <x:c r="B11" s="10" t="str">
        <x:v>Adaptador</x:v>
      </x:c>
      <x:c r="C11" s="10" t="n">
        <x:v>3</x:v>
      </x:c>
      <x:c r="D11" s="19" t="n">
        <x:v>51.4</x:v>
      </x:c>
      <x:c r="E11" s="19" t="n">
        <x:f>PRODUCT(C11:D11)</x:f>
        <x:v>154.2</x:v>
      </x:c>
      <x:c r="F11" s="19" t="n">
        <x:f>ROUND(E11,0)</x:f>
        <x:v>154</x:v>
      </x:c>
    </x:row>
    <x:row r="12">
      <x:c r="A12" s="10" t="str">
        <x:v>Mobiliario</x:v>
      </x:c>
      <x:c r="B12" s="10" t="str">
        <x:v>Soporte</x:v>
      </x:c>
      <x:c r="C12" s="10" t="n">
        <x:v>2</x:v>
      </x:c>
      <x:c r="D12" s="19" t="n">
        <x:v>73.8</x:v>
      </x:c>
      <x:c r="E12" s="19" t="n">
        <x:f>PRODUCT(C12:D12)</x:f>
        <x:v>147.6</x:v>
      </x:c>
      <x:c r="F12" s="19" t="n">
        <x:f>ROUND(E12,0)</x:f>
        <x:v>148</x:v>
      </x:c>
    </x:row>
    <x:row r="14" ht="25" customHeight="1">
      <x:c r="A14" s="16" t="str">
        <x:v>Resumen</x:v>
      </x:c>
      <x:c r="B14" s="18" t="str">
        <x:v>Resultado</x:v>
      </x:c>
    </x:row>
    <x:row r="15">
      <x:c r="A15" s="10" t="str">
        <x:v>Costo total</x:v>
      </x:c>
      <x:c r="B15" s="19" t="n">
        <x:f>SUM(E8:E12)</x:f>
        <x:v>1184.9999999999998</x:v>
      </x:c>
    </x:row>
    <x:row r="16">
      <x:c r="A16" s="10" t="str">
        <x:v>Total de equipo</x:v>
      </x:c>
      <x:c r="B16" s="19" t="n">
        <x:f>SUMIFS(E8:E12,A8:A12,"Equipo")</x:f>
        <x:v>764.4</x:v>
      </x:c>
    </x:row>
  </x:sheetData>
  <x:mergeCells>
    <x:mergeCell ref="A2:H2"/>
    <x:mergeCell ref="A3:H3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2" ht="26" customHeight="1">
      <x:c r="A2" s="2" t="str">
        <x:v>Reto: resume costos por categoría</x:v>
      </x:c>
      <x:c r="B2" s="2"/>
      <x:c r="C2" s="2"/>
      <x:c r="D2" s="2"/>
      <x:c r="E2" s="2"/>
      <x:c r="F2" s="2"/>
      <x:c r="G2" s="2"/>
      <x:c r="H2" s="2"/>
    </x:row>
    <x:row r="3" ht="30" customHeight="1">
      <x:c r="A3" s="5" t="str">
        <x:v>Calcula Costo, Costo redondeado, costo total y costo de la categoría Software.</x:v>
      </x:c>
      <x:c r="B3" s="5"/>
      <x:c r="C3" s="5"/>
      <x:c r="D3" s="5"/>
      <x:c r="E3" s="5"/>
      <x:c r="F3" s="5"/>
      <x:c r="G3" s="5"/>
      <x:c r="H3" s="5"/>
    </x:row>
    <x:row r="4" ht="22" customHeight="1">
      <x:c r="A4" s="7" t="str">
        <x:v>Contenido original de Chilete DevPath. Autor: Adrian Pisco. Datos ficticios para práctica académica.</x:v>
      </x:c>
      <x:c r="B4" s="7"/>
      <x:c r="C4" s="7"/>
      <x:c r="D4" s="7"/>
      <x:c r="E4" s="7"/>
      <x:c r="F4" s="7"/>
      <x:c r="G4" s="7"/>
      <x:c r="H4" s="7"/>
    </x:row>
    <x:row r="5">
      <x:c r="A5" s="8"/>
      <x:c r="B5" s="8"/>
      <x:c r="C5" s="8"/>
      <x:c r="D5" s="8"/>
      <x:c r="E5" s="8"/>
      <x:c r="F5" s="8"/>
      <x:c r="G5" s="8"/>
      <x:c r="H5" s="8"/>
    </x:row>
    <x:row r="7" ht="25" customHeight="1">
      <x:c r="A7" s="16" t="str">
        <x:v>Categoría</x:v>
      </x:c>
      <x:c r="B7" s="17" t="str">
        <x:v>Recurso</x:v>
      </x:c>
      <x:c r="C7" s="17" t="str">
        <x:v>Cantidad</x:v>
      </x:c>
      <x:c r="D7" s="17" t="str">
        <x:v>Costo unitario</x:v>
      </x:c>
      <x:c r="E7" s="17" t="str">
        <x:v>Costo</x:v>
      </x:c>
      <x:c r="F7" s="18" t="str">
        <x:v>Costo redondeado</x:v>
      </x:c>
    </x:row>
    <x:row r="8">
      <x:c r="A8" s="10" t="str">
        <x:v>Software</x:v>
      </x:c>
      <x:c r="B8" s="10" t="str">
        <x:v>Licencia educativa</x:v>
      </x:c>
      <x:c r="C8" s="10" t="n">
        <x:v>3</x:v>
      </x:c>
      <x:c r="D8" s="10" t="n">
        <x:v>48.5</x:v>
      </x:c>
      <x:c r="E8" s="21"/>
      <x:c r="F8" s="21"/>
    </x:row>
    <x:row r="9">
      <x:c r="A9" s="10" t="str">
        <x:v>Equipo</x:v>
      </x:c>
      <x:c r="B9" s="10" t="str">
        <x:v>Cámara</x:v>
      </x:c>
      <x:c r="C9" s="10" t="n">
        <x:v>2</x:v>
      </x:c>
      <x:c r="D9" s="10" t="n">
        <x:v>139.9</x:v>
      </x:c>
      <x:c r="E9" s="21"/>
      <x:c r="F9" s="21"/>
    </x:row>
    <x:row r="10">
      <x:c r="A10" s="10" t="str">
        <x:v>Software</x:v>
      </x:c>
      <x:c r="B10" s="10" t="str">
        <x:v>Editor</x:v>
      </x:c>
      <x:c r="C10" s="10" t="n">
        <x:v>4</x:v>
      </x:c>
      <x:c r="D10" s="10" t="n">
        <x:v>25.25</x:v>
      </x:c>
      <x:c r="E10" s="21"/>
      <x:c r="F10" s="21"/>
    </x:row>
    <x:row r="11">
      <x:c r="A11" s="10" t="str">
        <x:v>Cableado</x:v>
      </x:c>
      <x:c r="B11" s="10" t="str">
        <x:v>Cable USB</x:v>
      </x:c>
      <x:c r="C11" s="10" t="n">
        <x:v>5</x:v>
      </x:c>
      <x:c r="D11" s="10" t="n">
        <x:v>18.8</x:v>
      </x:c>
      <x:c r="E11" s="21"/>
      <x:c r="F11" s="21"/>
    </x:row>
    <x:row r="13" ht="25" customHeight="1">
      <x:c r="A13" s="16" t="str">
        <x:v>Resumen</x:v>
      </x:c>
      <x:c r="B13" s="18" t="str">
        <x:v>Resultado</x:v>
      </x:c>
    </x:row>
    <x:row r="14">
      <x:c r="A14" s="10" t="str">
        <x:v>Costo total</x:v>
      </x:c>
      <x:c r="B14" s="21"/>
    </x:row>
    <x:row r="15">
      <x:c r="A15" s="10" t="str">
        <x:v>Total de Software</x:v>
      </x:c>
      <x:c r="B15" s="21"/>
    </x:row>
  </x:sheetData>
  <x:mergeCells>
    <x:mergeCell ref="A2:H2"/>
    <x:mergeCell ref="A3:H3"/>
    <x:mergeCell ref="A4:H4"/>
  </x:mergeCells>
  <x:pageMargins left="0.7" right="0.7" top="0.75" bottom="0.75" header="0.3" footer="0.3"/>
</x:worksheet>
</file>