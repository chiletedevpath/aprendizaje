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873b6093b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488685acc73d4287"/>
    <x:sheet xmlns:r="http://schemas.openxmlformats.org/officeDocument/2006/relationships" name="Reto" sheetId="2" r:id="R511812010c1c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&quot;S/ &quot;#,##0.00"/>
  </x:numFmts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6940adbeb4b70" /><Relationship Type="http://schemas.openxmlformats.org/officeDocument/2006/relationships/theme" Target="/xl/theme/theme1.xml" Id="R4f2fda36bd00463e" /><Relationship Type="http://schemas.openxmlformats.org/officeDocument/2006/relationships/sharedStrings" Target="/xl/sharedStrings.xml" Id="Re91a995264954cba" /><Relationship Type="http://schemas.openxmlformats.org/officeDocument/2006/relationships/worksheet" Target="/xl/worksheets/sheet1.xml" Id="R488685acc73d4287" /><Relationship Type="http://schemas.openxmlformats.org/officeDocument/2006/relationships/worksheet" Target="/xl/worksheets/sheet2.xml" Id="R511812010c1c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6" customHeight="1">
      <x:c r="A2" s="2" t="str">
        <x:v>Presupuesto de un taller tecnológico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operadores aritméticos, porcentajes y referencias absolutas con una tasa editable.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6" ht="25" customHeight="1">
      <x:c r="A6" s="15" t="str">
        <x:v>Supuesto</x:v>
      </x:c>
      <x:c r="B6" s="16" t="str">
        <x:v>Valor</x:v>
      </x:c>
    </x:row>
    <x:row r="7">
      <x:c r="A7" s="10" t="str">
        <x:v>IGV</x:v>
      </x:c>
      <x:c r="B7" s="18" t="n">
        <x:v>0.18</x:v>
      </x:c>
    </x:row>
    <x:row r="9" ht="25" customHeight="1">
      <x:c r="A9" s="15" t="str">
        <x:v>Recurso</x:v>
      </x:c>
      <x:c r="B9" s="20" t="str">
        <x:v>Cantidad</x:v>
      </x:c>
      <x:c r="C9" s="20" t="str">
        <x:v>Precio unitario</x:v>
      </x:c>
      <x:c r="D9" s="20" t="str">
        <x:v>Subtotal</x:v>
      </x:c>
      <x:c r="E9" s="20" t="str">
        <x:v>Descuento</x:v>
      </x:c>
      <x:c r="F9" s="20" t="str">
        <x:v>IGV</x:v>
      </x:c>
      <x:c r="G9" s="16" t="str">
        <x:v>Total</x:v>
      </x:c>
    </x:row>
    <x:row r="10">
      <x:c r="A10" s="10" t="str">
        <x:v>Teclado</x:v>
      </x:c>
      <x:c r="B10" s="10" t="n">
        <x:v>4</x:v>
      </x:c>
      <x:c r="C10" s="21" t="n">
        <x:v>85</x:v>
      </x:c>
      <x:c r="D10" s="21" t="n">
        <x:f>B10*C10</x:f>
        <x:v>340</x:v>
      </x:c>
      <x:c r="E10" s="22" t="n">
        <x:v>0.05</x:v>
      </x:c>
      <x:c r="F10" s="21" t="n">
        <x:f>D10*(1-E10)*$B$7</x:f>
        <x:v>58.14</x:v>
      </x:c>
      <x:c r="G10" s="21" t="n">
        <x:f>D10*(1-E10)+F10</x:f>
        <x:v>381.14</x:v>
      </x:c>
    </x:row>
    <x:row r="11">
      <x:c r="A11" s="10" t="str">
        <x:v>Mouse</x:v>
      </x:c>
      <x:c r="B11" s="10" t="n">
        <x:v>4</x:v>
      </x:c>
      <x:c r="C11" s="21" t="n">
        <x:v>45</x:v>
      </x:c>
      <x:c r="D11" s="21" t="n">
        <x:f>B11*C11</x:f>
        <x:v>180</x:v>
      </x:c>
      <x:c r="E11" s="22" t="n">
        <x:v>0</x:v>
      </x:c>
      <x:c r="F11" s="21" t="n">
        <x:f>D11*(1-E11)*$B$7</x:f>
        <x:v>32.4</x:v>
      </x:c>
      <x:c r="G11" s="21" t="n">
        <x:f>D11*(1-E11)+F11</x:f>
        <x:v>212.4</x:v>
      </x:c>
    </x:row>
    <x:row r="12">
      <x:c r="A12" s="10" t="str">
        <x:v>Audífonos</x:v>
      </x:c>
      <x:c r="B12" s="10" t="n">
        <x:v>2</x:v>
      </x:c>
      <x:c r="C12" s="21" t="n">
        <x:v>120</x:v>
      </x:c>
      <x:c r="D12" s="21" t="n">
        <x:f>B12*C12</x:f>
        <x:v>240</x:v>
      </x:c>
      <x:c r="E12" s="22" t="n">
        <x:v>0.1</x:v>
      </x:c>
      <x:c r="F12" s="21" t="n">
        <x:f>D12*(1-E12)*$B$7</x:f>
        <x:v>38.879999999999995</x:v>
      </x:c>
      <x:c r="G12" s="21" t="n">
        <x:f>D12*(1-E12)+F12</x:f>
        <x:v>254.88</x:v>
      </x:c>
    </x:row>
    <x:row r="13">
      <x:c r="A13" s="10" t="str">
        <x:v>Soporte</x:v>
      </x:c>
      <x:c r="B13" s="10" t="n">
        <x:v>3</x:v>
      </x:c>
      <x:c r="C13" s="21" t="n">
        <x:v>60</x:v>
      </x:c>
      <x:c r="D13" s="21" t="n">
        <x:f>B13*C13</x:f>
        <x:v>180</x:v>
      </x:c>
      <x:c r="E13" s="22" t="n">
        <x:v>0</x:v>
      </x:c>
      <x:c r="F13" s="21" t="n">
        <x:f>D13*(1-E13)*$B$7</x:f>
        <x:v>32.4</x:v>
      </x:c>
      <x:c r="G13" s="21" t="n">
        <x:f>D13*(1-E13)+F13</x:f>
        <x:v>212.4</x:v>
      </x:c>
    </x:row>
    <x:row r="14">
      <x:c r="A14" s="26" t="str">
        <x:v>Total del presupuesto</x:v>
      </x:c>
      <x:c r="B14" s="26"/>
      <x:c r="C14" s="26"/>
      <x:c r="D14" s="26"/>
      <x:c r="E14" s="26"/>
      <x:c r="F14" s="27"/>
      <x:c r="G14" s="27" t="n">
        <x:f>SUM(G10:G13)</x:f>
        <x:v>1060.82</x:v>
      </x:c>
    </x:row>
  </x:sheetData>
  <x:mergeCells>
    <x:mergeCell ref="A2:H2"/>
    <x:mergeCell ref="A3:H3"/>
    <x:mergeCell ref="A4:H4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6" customHeight="1">
      <x:c r="A2" s="2" t="str">
        <x:v>Reto: calcula un presupuesto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Completa Subtotal, IGV y Total. La fórmula del IGV debe reutilizar la tasa ubicada en B7 mediante referencia absoluta.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6" ht="25" customHeight="1">
      <x:c r="A6" s="15" t="str">
        <x:v>Supuesto</x:v>
      </x:c>
      <x:c r="B6" s="16" t="str">
        <x:v>Valor</x:v>
      </x:c>
    </x:row>
    <x:row r="7">
      <x:c r="A7" s="10" t="str">
        <x:v>IGV</x:v>
      </x:c>
      <x:c r="B7" s="18" t="n">
        <x:v>0.18</x:v>
      </x:c>
    </x:row>
    <x:row r="9" ht="25" customHeight="1">
      <x:c r="A9" s="15" t="str">
        <x:v>Recurso</x:v>
      </x:c>
      <x:c r="B9" s="20" t="str">
        <x:v>Cantidad</x:v>
      </x:c>
      <x:c r="C9" s="20" t="str">
        <x:v>Precio unitario</x:v>
      </x:c>
      <x:c r="D9" s="20" t="str">
        <x:v>Subtotal</x:v>
      </x:c>
      <x:c r="E9" s="20" t="str">
        <x:v>Descuento</x:v>
      </x:c>
      <x:c r="F9" s="20" t="str">
        <x:v>IGV</x:v>
      </x:c>
      <x:c r="G9" s="16" t="str">
        <x:v>Total</x:v>
      </x:c>
    </x:row>
    <x:row r="10">
      <x:c r="A10" s="10" t="str">
        <x:v>Webcam</x:v>
      </x:c>
      <x:c r="B10" s="10" t="n">
        <x:v>2</x:v>
      </x:c>
      <x:c r="C10" s="10" t="n">
        <x:v>145</x:v>
      </x:c>
      <x:c r="D10" s="28"/>
      <x:c r="E10" s="10" t="n">
        <x:v>0.05</x:v>
      </x:c>
      <x:c r="F10" s="28"/>
      <x:c r="G10" s="28"/>
    </x:row>
    <x:row r="11">
      <x:c r="A11" s="10" t="str">
        <x:v>Memoria USB</x:v>
      </x:c>
      <x:c r="B11" s="10" t="n">
        <x:v>5</x:v>
      </x:c>
      <x:c r="C11" s="10" t="n">
        <x:v>35</x:v>
      </x:c>
      <x:c r="D11" s="28"/>
      <x:c r="E11" s="10" t="n">
        <x:v>0</x:v>
      </x:c>
      <x:c r="F11" s="28"/>
      <x:c r="G11" s="28"/>
    </x:row>
    <x:row r="12">
      <x:c r="A12" s="10" t="str">
        <x:v>Adaptador</x:v>
      </x:c>
      <x:c r="B12" s="10" t="n">
        <x:v>3</x:v>
      </x:c>
      <x:c r="C12" s="10" t="n">
        <x:v>50</x:v>
      </x:c>
      <x:c r="D12" s="28"/>
      <x:c r="E12" s="10" t="n">
        <x:v>0.1</x:v>
      </x:c>
      <x:c r="F12" s="28"/>
      <x:c r="G12" s="28"/>
    </x:row>
  </x:sheetData>
  <x:mergeCells>
    <x:mergeCell ref="A2:H2"/>
    <x:mergeCell ref="A3:H3"/>
    <x:mergeCell ref="A4:H4"/>
  </x:mergeCells>
  <x:pageMargins left="0.7" right="0.7" top="0.75" bottom="0.75" header="0.3" footer="0.3"/>
</x:worksheet>
</file>