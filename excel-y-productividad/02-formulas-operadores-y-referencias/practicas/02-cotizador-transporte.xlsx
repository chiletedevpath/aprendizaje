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1efea4557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 resuelta" sheetId="1" r:id="Re01ce9bf61524934"/>
    <x:sheet xmlns:r="http://schemas.openxmlformats.org/officeDocument/2006/relationships" name="Reto" sheetId="2" r:id="Rbeff6126fc09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&quot;S/ &quot;#,##0.00"/>
  </x:numFmts>
  <x:fonts count="6">
    <x:font>
      <x:sz val="11"/>
      <x:name val="Carlito"/>
    </x:font>
    <x:font>
      <x:b/>
      <x:sz val="15"/>
      <x:color rgb="FF172033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2" fontId="4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202" fontId="5" fillId="4" borderId="6" xfId="0" applyNumberFormat="1" applyFont="1" applyFill="1" applyBorder="1"/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202" fontId="4" fillId="3" borderId="7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243bef53b4b4a" /><Relationship Type="http://schemas.openxmlformats.org/officeDocument/2006/relationships/theme" Target="/xl/theme/theme1.xml" Id="Reeef376e06b24e17" /><Relationship Type="http://schemas.openxmlformats.org/officeDocument/2006/relationships/sharedStrings" Target="/xl/sharedStrings.xml" Id="Rb683bd56244e4811" /><Relationship Type="http://schemas.openxmlformats.org/officeDocument/2006/relationships/worksheet" Target="/xl/worksheets/sheet1.xml" Id="Re01ce9bf61524934" /><Relationship Type="http://schemas.openxmlformats.org/officeDocument/2006/relationships/worksheet" Target="/xl/worksheets/sheet2.xml" Id="Rbeff6126fc09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  <x:col min="11" max="11" width="15" hidden="0" customWidth="1"/>
  </x:cols>
  <x:sheetData>
    <x:row r="2" ht="28" customHeight="1">
      <x:c r="B2" s="2" t="str">
        <x:v>Cotizador de transporte</x:v>
      </x:c>
    </x:row>
    <x:row r="3" ht="22" customHeight="1">
      <x:c r="B3" s="3" t="str">
        <x:v>Caso ficticio para practicar multiplicación, referencias absolutas, porcentajes y redondeo.</x:v>
      </x:c>
    </x:row>
    <x:row r="4" ht="22" customHeight="1"/>
    <x:row r="5" ht="22" customHeight="1">
      <x:c r="B5" s="12" t="str">
        <x:v>Parámetro</x:v>
      </x:c>
      <x:c r="C5" s="13" t="str">
        <x:v>Valor</x:v>
      </x:c>
      <x:c r="J5" s="12" t="str">
        <x:v>Comprueba</x:v>
      </x:c>
      <x:c r="K5" s="13" t="str">
        <x:v>Resultado</x:v>
      </x:c>
    </x:row>
    <x:row r="6" ht="22" customHeight="1">
      <x:c r="B6" s="15" t="str">
        <x:v>Margen operativo</x:v>
      </x:c>
      <x:c r="C6" s="17" t="n">
        <x:v>0.12</x:v>
      </x:c>
      <x:c r="J6" s="15" t="str">
        <x:v>Rutas</x:v>
      </x:c>
      <x:c r="K6" s="15" t="n">
        <x:f>COUNTA(B11:B16)</x:f>
        <x:v>6</x:v>
      </x:c>
    </x:row>
    <x:row r="7" ht="22" customHeight="1">
      <x:c r="B7" s="15" t="str">
        <x:v>IGV</x:v>
      </x:c>
      <x:c r="C7" s="17" t="n">
        <x:v>0.18</x:v>
      </x:c>
      <x:c r="J7" s="15" t="str">
        <x:v>Pasajeros</x:v>
      </x:c>
      <x:c r="K7" s="15" t="n">
        <x:f>SUM(C11:C16)</x:f>
        <x:v>179</x:v>
      </x:c>
    </x:row>
    <x:row r="8" ht="22" customHeight="1">
      <x:c r="B8" s="15" t="str">
        <x:v>Capacidad de referencia</x:v>
      </x:c>
      <x:c r="C8" s="18" t="n">
        <x:v>40</x:v>
      </x:c>
      <x:c r="J8" s="15" t="str">
        <x:v>Promedio por ruta</x:v>
      </x:c>
      <x:c r="K8" s="24" t="n">
        <x:f>AVERAGE(H11:H16)</x:f>
        <x:v>700.1166666666667</x:v>
      </x:c>
    </x:row>
    <x:row r="9" ht="22" customHeight="1">
      <x:c r="J9" s="15" t="str">
        <x:v>Mayor cotización</x:v>
      </x:c>
      <x:c r="K9" s="24" t="n">
        <x:f>MAX(H11:H16)</x:f>
        <x:v>878.86</x:v>
      </x:c>
    </x:row>
    <x:row r="10" ht="22" customHeight="1">
      <x:c r="B10" s="33" t="str">
        <x:v>Ruta</x:v>
      </x:c>
      <x:c r="C10" s="33" t="str">
        <x:v>Pasajeros</x:v>
      </x:c>
      <x:c r="D10" s="33" t="str">
        <x:v>Costo unitario</x:v>
      </x:c>
      <x:c r="E10" s="33" t="str">
        <x:v>Costo base</x:v>
      </x:c>
      <x:c r="F10" s="33" t="str">
        <x:v>Margen</x:v>
      </x:c>
      <x:c r="G10" s="33" t="str">
        <x:v>Subtotal</x:v>
      </x:c>
      <x:c r="H10" s="33" t="str">
        <x:v>Total con IGV</x:v>
      </x:c>
    </x:row>
    <x:row r="11" ht="22" customHeight="1">
      <x:c r="B11" s="34" t="str">
        <x:v>Villa Norte - Puerto Claro</x:v>
      </x:c>
      <x:c r="C11" s="35" t="n">
        <x:v>32</x:v>
      </x:c>
      <x:c r="D11" s="36" t="n">
        <x:v>18.5</x:v>
      </x:c>
      <x:c r="E11" s="37" t="n">
        <x:f>ROUND(C11*D11,2)</x:f>
        <x:v>592</x:v>
      </x:c>
      <x:c r="F11" s="37" t="n">
        <x:f>ROUND(E11*$C$6,2)</x:f>
        <x:v>71.04</x:v>
      </x:c>
      <x:c r="G11" s="37" t="n">
        <x:f>E11+F11</x:f>
        <x:v>663.04</x:v>
      </x:c>
      <x:c r="H11" s="37" t="n">
        <x:f>ROUND(G11*(1+$C$7),2)</x:f>
        <x:v>782.39</x:v>
      </x:c>
    </x:row>
    <x:row r="12" ht="22" customHeight="1">
      <x:c r="B12" s="34" t="str">
        <x:v>Villa Norte - Valle Verde</x:v>
      </x:c>
      <x:c r="C12" s="35" t="n">
        <x:v>26</x:v>
      </x:c>
      <x:c r="D12" s="36" t="n">
        <x:v>21</x:v>
      </x:c>
      <x:c r="E12" s="37" t="n">
        <x:f>ROUND(C12*D12,2)</x:f>
        <x:v>546</x:v>
      </x:c>
      <x:c r="F12" s="37" t="n">
        <x:f>ROUND(E12*$C$6,2)</x:f>
        <x:v>65.52</x:v>
      </x:c>
      <x:c r="G12" s="37" t="n">
        <x:f>E12+F12</x:f>
        <x:v>611.52</x:v>
      </x:c>
      <x:c r="H12" s="37" t="n">
        <x:f>ROUND(G12*(1+$C$7),2)</x:f>
        <x:v>721.59</x:v>
      </x:c>
    </x:row>
    <x:row r="13" ht="22" customHeight="1">
      <x:c r="B13" s="34" t="str">
        <x:v>Puerto Claro - Santa Rosa</x:v>
      </x:c>
      <x:c r="C13" s="35" t="n">
        <x:v>38</x:v>
      </x:c>
      <x:c r="D13" s="36" t="n">
        <x:v>14.75</x:v>
      </x:c>
      <x:c r="E13" s="37" t="n">
        <x:f>ROUND(C13*D13,2)</x:f>
        <x:v>560.5</x:v>
      </x:c>
      <x:c r="F13" s="37" t="n">
        <x:f>ROUND(E13*$C$6,2)</x:f>
        <x:v>67.26</x:v>
      </x:c>
      <x:c r="G13" s="37" t="n">
        <x:f>E13+F13</x:f>
        <x:v>627.76</x:v>
      </x:c>
      <x:c r="H13" s="37" t="n">
        <x:f>ROUND(G13*(1+$C$7),2)</x:f>
        <x:v>740.76</x:v>
      </x:c>
    </x:row>
    <x:row r="14" ht="22" customHeight="1">
      <x:c r="B14" s="34" t="str">
        <x:v>Valle Verde - Los Cedros</x:v>
      </x:c>
      <x:c r="C14" s="35" t="n">
        <x:v>20</x:v>
      </x:c>
      <x:c r="D14" s="36" t="n">
        <x:v>16.25</x:v>
      </x:c>
      <x:c r="E14" s="37" t="n">
        <x:f>ROUND(C14*D14,2)</x:f>
        <x:v>325</x:v>
      </x:c>
      <x:c r="F14" s="37" t="n">
        <x:f>ROUND(E14*$C$6,2)</x:f>
        <x:v>39</x:v>
      </x:c>
      <x:c r="G14" s="37" t="n">
        <x:f>E14+F14</x:f>
        <x:v>364</x:v>
      </x:c>
      <x:c r="H14" s="37" t="n">
        <x:f>ROUND(G14*(1+$C$7),2)</x:f>
        <x:v>429.52</x:v>
      </x:c>
    </x:row>
    <x:row r="15" ht="22" customHeight="1">
      <x:c r="B15" s="34" t="str">
        <x:v>Santa Rosa - Nuevo Horizonte</x:v>
      </x:c>
      <x:c r="C15" s="35" t="n">
        <x:v>35</x:v>
      </x:c>
      <x:c r="D15" s="36" t="n">
        <x:v>19</x:v>
      </x:c>
      <x:c r="E15" s="37" t="n">
        <x:f>ROUND(C15*D15,2)</x:f>
        <x:v>665</x:v>
      </x:c>
      <x:c r="F15" s="37" t="n">
        <x:f>ROUND(E15*$C$6,2)</x:f>
        <x:v>79.8</x:v>
      </x:c>
      <x:c r="G15" s="37" t="n">
        <x:f>E15+F15</x:f>
        <x:v>744.8</x:v>
      </x:c>
      <x:c r="H15" s="37" t="n">
        <x:f>ROUND(G15*(1+$C$7),2)</x:f>
        <x:v>878.86</x:v>
      </x:c>
    </x:row>
    <x:row r="16" ht="22" customHeight="1">
      <x:c r="B16" s="34" t="str">
        <x:v>Los Cedros - Puerto Claro</x:v>
      </x:c>
      <x:c r="C16" s="35" t="n">
        <x:v>28</x:v>
      </x:c>
      <x:c r="D16" s="36" t="n">
        <x:v>17.5</x:v>
      </x:c>
      <x:c r="E16" s="37" t="n">
        <x:f>ROUND(C16*D16,2)</x:f>
        <x:v>490</x:v>
      </x:c>
      <x:c r="F16" s="37" t="n">
        <x:f>ROUND(E16*$C$6,2)</x:f>
        <x:v>58.8</x:v>
      </x:c>
      <x:c r="G16" s="37" t="n">
        <x:f>E16+F16</x:f>
        <x:v>548.8</x:v>
      </x:c>
      <x:c r="H16" s="37" t="n">
        <x:f>ROUND(G16*(1+$C$7),2)</x:f>
        <x:v>647.58</x:v>
      </x:c>
    </x:row>
    <x:row r="17" ht="22" customHeight="1">
      <x:c r="B17" s="30" t="str">
        <x:v>Total general</x:v>
      </x:c>
      <x:c r="C17" s="31"/>
      <x:c r="D17" s="31"/>
      <x:c r="E17" s="31"/>
      <x:c r="F17" s="31"/>
      <x:c r="G17" s="31"/>
      <x:c r="H17" s="32" t="n">
        <x:f>SUM(H11:H16)</x:f>
        <x:v>4200.7</x:v>
      </x:c>
    </x:row>
    <x:row r="18" ht="22" customHeight="1"/>
  </x:sheetData>
  <x:mergeCells>
    <x:mergeCell ref="B2:H2"/>
    <x:mergeCell ref="B3:H3"/>
    <x:mergeCell ref="B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  <x:col min="11" max="11" width="15" hidden="0" customWidth="1"/>
  </x:cols>
  <x:sheetData>
    <x:row r="2" ht="28" customHeight="1">
      <x:c r="B2" s="2" t="str">
        <x:v>Reto: completa el cotizador</x:v>
      </x:c>
    </x:row>
    <x:row r="3" ht="22" customHeight="1">
      <x:c r="B3" s="3" t="str">
        <x:v>Completa las fórmulas amarillas. Usa referencias absolutas para margen e IGV y redondea a dos decimales.</x:v>
      </x:c>
    </x:row>
    <x:row r="4" ht="22" customHeight="1"/>
    <x:row r="5" ht="22" customHeight="1">
      <x:c r="B5" s="12" t="str">
        <x:v>Parámetro</x:v>
      </x:c>
      <x:c r="C5" s="13" t="str">
        <x:v>Valor</x:v>
      </x:c>
    </x:row>
    <x:row r="6" ht="22" customHeight="1">
      <x:c r="B6" s="15" t="str">
        <x:v>Margen operativo</x:v>
      </x:c>
      <x:c r="C6" s="17" t="n">
        <x:v>0.15</x:v>
      </x:c>
    </x:row>
    <x:row r="7" ht="22" customHeight="1">
      <x:c r="B7" s="15" t="str">
        <x:v>IGV</x:v>
      </x:c>
      <x:c r="C7" s="17" t="n">
        <x:v>0.18</x:v>
      </x:c>
    </x:row>
    <x:row r="8" ht="22" customHeight="1"/>
    <x:row r="9" ht="22" customHeight="1">
      <x:c r="B9" s="33" t="str">
        <x:v>Ruta</x:v>
      </x:c>
      <x:c r="C9" s="33" t="str">
        <x:v>Pasajeros</x:v>
      </x:c>
      <x:c r="D9" s="33" t="str">
        <x:v>Costo unitario</x:v>
      </x:c>
      <x:c r="E9" s="33" t="str">
        <x:v>Costo base</x:v>
      </x:c>
      <x:c r="F9" s="33" t="str">
        <x:v>Margen</x:v>
      </x:c>
      <x:c r="G9" s="33" t="str">
        <x:v>Subtotal</x:v>
      </x:c>
      <x:c r="H9" s="33" t="str">
        <x:v>Total con IGV</x:v>
      </x:c>
    </x:row>
    <x:row r="10" ht="22" customHeight="1">
      <x:c r="B10" s="34" t="str">
        <x:v>Bosque Alto - Lago Azul</x:v>
      </x:c>
      <x:c r="C10" s="34" t="n">
        <x:v>24</x:v>
      </x:c>
      <x:c r="D10" s="37" t="n">
        <x:v>20</x:v>
      </x:c>
      <x:c r="E10" s="36"/>
      <x:c r="F10" s="36"/>
      <x:c r="G10" s="36"/>
      <x:c r="H10" s="36"/>
    </x:row>
    <x:row r="11" ht="22" customHeight="1">
      <x:c r="B11" s="34" t="str">
        <x:v>Lago Azul - Monte Claro</x:v>
      </x:c>
      <x:c r="C11" s="34" t="n">
        <x:v>31</x:v>
      </x:c>
      <x:c r="D11" s="37" t="n">
        <x:v>18</x:v>
      </x:c>
      <x:c r="E11" s="36"/>
      <x:c r="F11" s="36"/>
      <x:c r="G11" s="36"/>
      <x:c r="H11" s="36"/>
    </x:row>
    <x:row r="12" ht="22" customHeight="1">
      <x:c r="B12" s="34" t="str">
        <x:v>Monte Claro - Villa Norte</x:v>
      </x:c>
      <x:c r="C12" s="34" t="n">
        <x:v>29</x:v>
      </x:c>
      <x:c r="D12" s="37" t="n">
        <x:v>22.5</x:v>
      </x:c>
      <x:c r="E12" s="36"/>
      <x:c r="F12" s="36"/>
      <x:c r="G12" s="36"/>
      <x:c r="H12" s="36"/>
    </x:row>
    <x:row r="13" ht="22" customHeight="1">
      <x:c r="B13" s="34" t="str">
        <x:v>Villa Norte - Bosque Alto</x:v>
      </x:c>
      <x:c r="C13" s="34" t="n">
        <x:v>36</x:v>
      </x:c>
      <x:c r="D13" s="37" t="n">
        <x:v>16.5</x:v>
      </x:c>
      <x:c r="E13" s="36"/>
      <x:c r="F13" s="36"/>
      <x:c r="G13" s="36"/>
      <x:c r="H13" s="36"/>
    </x:row>
    <x:row r="14" ht="22" customHeight="1">
      <x:c r="B14" s="34" t="str">
        <x:v>Puerto Claro - Lago Azul</x:v>
      </x:c>
      <x:c r="C14" s="34" t="n">
        <x:v>27</x:v>
      </x:c>
      <x:c r="D14" s="37" t="n">
        <x:v>19.25</x:v>
      </x:c>
      <x:c r="E14" s="36"/>
      <x:c r="F14" s="36"/>
      <x:c r="G14" s="36"/>
      <x:c r="H14" s="36"/>
    </x:row>
    <x:row r="15" ht="22" customHeight="1"/>
    <x:row r="16" ht="22" customHeight="1">
      <x:c r="B16" s="28" t="str">
        <x:v>Criterios de comprobación</x:v>
      </x:c>
      <x:c r="C16" s="28"/>
      <x:c r="D16" s="28"/>
      <x:c r="E16" s="28"/>
      <x:c r="F16" s="28"/>
      <x:c r="G16" s="28"/>
      <x:c r="H16" s="28"/>
    </x:row>
    <x:row r="17" ht="22" customHeight="1">
      <x:c r="B17" s="15" t="str">
        <x:v>1. Todas las filas calculan costo, margen, subtotal y total.</x:v>
      </x:c>
      <x:c r="C17" s="15"/>
      <x:c r="D17" s="15"/>
      <x:c r="E17" s="15"/>
      <x:c r="F17" s="15"/>
      <x:c r="G17" s="15"/>
      <x:c r="H17" s="15"/>
    </x:row>
    <x:row r="18" ht="22" customHeight="1">
      <x:c r="B18" s="15" t="str">
        <x:v>2. Cambiar margen o IGV actualiza todas las cotizaciones.</x:v>
      </x:c>
      <x:c r="C18" s="15"/>
      <x:c r="D18" s="15"/>
      <x:c r="E18" s="15"/>
      <x:c r="F18" s="15"/>
      <x:c r="G18" s="15"/>
      <x:c r="H18" s="15"/>
    </x:row>
  </x:sheetData>
  <x:mergeCells>
    <x:mergeCell ref="B2:H2"/>
    <x:mergeCell ref="B3:H3"/>
    <x:mergeCell ref="B16:H16"/>
    <x:mergeCell ref="B17:H17"/>
    <x:mergeCell ref="B18:H18"/>
  </x:mergeCells>
  <x:pageMargins left="0.7" right="0.7" top="0.75" bottom="0.75" header="0.3" footer="0.3"/>
</x:worksheet>
</file>